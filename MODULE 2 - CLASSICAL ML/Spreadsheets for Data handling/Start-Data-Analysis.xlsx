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Veena\Certificate Program in Artificial Intelligence and Machine Learning\Certificate-Program-in-AIML-IIT-Patna\MODULE 2 - CLASSICAL ML\Spreadsheets for Data handling\"/>
    </mc:Choice>
  </mc:AlternateContent>
  <xr:revisionPtr revIDLastSave="0" documentId="13_ncr:1_{A98ECB29-B3AD-41E2-B455-D4C766586355}" xr6:coauthVersionLast="47" xr6:coauthVersionMax="47" xr10:uidLastSave="{00000000-0000-0000-0000-000000000000}"/>
  <bookViews>
    <workbookView xWindow="-108" yWindow="-108" windowWidth="23256" windowHeight="12456" activeTab="1" xr2:uid="{D1FC2354-1431-294E-9D05-A71CF1B59C9B}"/>
  </bookViews>
  <sheets>
    <sheet name="Raw" sheetId="1" r:id="rId1"/>
    <sheet name="PRACTICE" sheetId="6" r:id="rId2"/>
    <sheet name="EXCEL Shortcuts" sheetId="5" r:id="rId3"/>
    <sheet name="Clean" sheetId="4" r:id="rId4"/>
    <sheet name="Analysis" sheetId="2" r:id="rId5"/>
    <sheet name="Finding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6" l="1"/>
  <c r="H10" i="6"/>
  <c r="H9" i="6"/>
  <c r="H8" i="6"/>
  <c r="H7" i="6"/>
  <c r="H6" i="6"/>
  <c r="H5" i="6"/>
  <c r="H4" i="6"/>
  <c r="H3" i="6"/>
  <c r="H2" i="6"/>
  <c r="M3" i="4"/>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uri="{3e2802c4-a4d2-4d8b-9148-e3be6c30e623}">
          <xlrd:rvb i="0"/>
        </ext>
      </extLst>
    </bk>
    <bk>
      <extLst>
        <ext uri="{3e2802c4-a4d2-4d8b-9148-e3be6c30e623}">
          <xlrd:rvb i="4"/>
        </ext>
      </extLst>
    </bk>
    <bk>
      <extLst>
        <ext uri="{3e2802c4-a4d2-4d8b-9148-e3be6c30e623}">
          <xlrd:rvb i="206"/>
        </ext>
      </extLst>
    </bk>
    <bk>
      <extLst>
        <ext uri="{3e2802c4-a4d2-4d8b-9148-e3be6c30e623}">
          <xlrd:rvb i="209"/>
        </ext>
      </extLst>
    </bk>
    <bk>
      <extLst>
        <ext uri="{3e2802c4-a4d2-4d8b-9148-e3be6c30e623}">
          <xlrd:rvb i="306"/>
        </ext>
      </extLst>
    </bk>
    <bk>
      <extLst>
        <ext uri="{3e2802c4-a4d2-4d8b-9148-e3be6c30e623}">
          <xlrd:rvb i="309"/>
        </ext>
      </extLst>
    </bk>
    <bk>
      <extLst>
        <ext uri="{3e2802c4-a4d2-4d8b-9148-e3be6c30e623}">
          <xlrd:rvb i="379"/>
        </ext>
      </extLst>
    </bk>
    <bk>
      <extLst>
        <ext uri="{3e2802c4-a4d2-4d8b-9148-e3be6c30e623}">
          <xlrd:rvb i="381"/>
        </ext>
      </extLst>
    </bk>
    <bk>
      <extLst>
        <ext uri="{3e2802c4-a4d2-4d8b-9148-e3be6c30e623}">
          <xlrd:rvb i="449"/>
        </ext>
      </extLst>
    </bk>
    <bk>
      <extLst>
        <ext uri="{3e2802c4-a4d2-4d8b-9148-e3be6c30e623}">
          <xlrd:rvb i="452"/>
        </ext>
      </extLst>
    </bk>
  </futureMetadata>
  <futureMetadata name="XLDAPR" count="1">
    <bk>
      <extLst>
        <ext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<sst xmlns="http://schemas.openxmlformats.org/spreadsheetml/2006/main" count="2430" uniqueCount="92">
  <si>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</si>
  <si>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</si>
  <si>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</si>
  <si>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</si>
  <si>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</si>
  <si>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</si>
  <si>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</si>
  <si>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</si>
  <si>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</si>
  <si>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</si>
  <si>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</si>
  <si>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</si>
  <si>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</si>
  <si>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</si>
  <si>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</si>
  <si>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</si>
  <si>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</si>
  <si>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</si>
  <si>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</si>
  <si>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</si>
  <si>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</si>
  <si>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</si>
  <si>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</si>
  <si>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</si>
  <si>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</si>
  <si>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</si>
  <si>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</si>
  <si>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</si>
  <si>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</si>
  <si>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</si>
  <si>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</si>
  <si>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</si>
  <si>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</si>
  <si>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</si>
  <si>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</si>
  <si>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</si>
  <si>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</si>
  <si>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</si>
  <si>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</si>
  <si>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</si>
  <si>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</si>
  <si>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</si>
  <si>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</si>
  <si>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</si>
  <si>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</si>
  <si>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</si>
  <si>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</si>
  <si>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</si>
  <si>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</si>
  <si>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t>S.No</t>
  </si>
  <si>
    <t>Short cut</t>
  </si>
  <si>
    <t>Usage</t>
  </si>
  <si>
    <t>Ctrl+Home</t>
  </si>
  <si>
    <t>Go to the first entry</t>
  </si>
  <si>
    <t>Go to last entry</t>
  </si>
  <si>
    <t>Ctrl+End</t>
  </si>
  <si>
    <t>Ctrl+Shift+down arrow</t>
  </si>
  <si>
    <t>Ctrl+Shift+up arrow</t>
  </si>
  <si>
    <t>Select/unselect the entire row from first to last entry</t>
  </si>
  <si>
    <t>Select/unselect the entire row from last to first entry</t>
  </si>
  <si>
    <t>StudentID</t>
  </si>
  <si>
    <t>Name</t>
  </si>
  <si>
    <t>Age</t>
  </si>
  <si>
    <t>Gender</t>
  </si>
  <si>
    <t>Department</t>
  </si>
  <si>
    <t>Marks</t>
  </si>
  <si>
    <t>Ananya</t>
  </si>
  <si>
    <t>Female</t>
  </si>
  <si>
    <t>CSE</t>
  </si>
  <si>
    <t>Chennai</t>
  </si>
  <si>
    <t>Rahul</t>
  </si>
  <si>
    <t>Male</t>
  </si>
  <si>
    <t>ECE</t>
  </si>
  <si>
    <t>Bangalore</t>
  </si>
  <si>
    <t>Meena</t>
  </si>
  <si>
    <t>IT</t>
  </si>
  <si>
    <t>Hyderabad</t>
  </si>
  <si>
    <t>Arjun</t>
  </si>
  <si>
    <t>EEE</t>
  </si>
  <si>
    <t>Mumbai</t>
  </si>
  <si>
    <t>Priya</t>
  </si>
  <si>
    <t>Karan</t>
  </si>
  <si>
    <t>Delhi</t>
  </si>
  <si>
    <t>Sneha</t>
  </si>
  <si>
    <t>Pune</t>
  </si>
  <si>
    <t>Vikram</t>
  </si>
  <si>
    <t>Kolkata</t>
  </si>
  <si>
    <t>Divya</t>
  </si>
  <si>
    <t>Rohit</t>
  </si>
  <si>
    <t>Marks*3</t>
  </si>
  <si>
    <t>Right clicek-&gt;paste values</t>
  </si>
  <si>
    <t>This will just paste the values of the column on which some formula is applied(dependent on i/p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</si>
</sst>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409]* #,##0_ ;_-[$$-409]* \-#,##0\ ;_-[$$-409]* &quot;-&quot;??_ ;_-@_ "/>
  </numFmts>
  <fonts count="9"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164" fontId="2" fillId="0" borderId="0" applyFont="0" applyFill="0" applyBorder="0" applyAlignment="0" applyProtection="0"/>
    <xf numFmtId="0" fontId="1" fillId="0" borderId="0"/>
    <xf numFmtId="0" fontId="8" fillId="0" borderId="0" applyNumberFormat="0" applyFill="0" applyBorder="0" applyAlignment="0" applyProtection="0"/>
  </cellStyleXfs>
  <cellXfs count="24">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2" fontId="0" fillId="0" borderId="0" xfId="0" applyNumberFormat="1" applyAlignment="1">
      <alignment horizontal="center"/>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5" fontId="0" fillId="0" borderId="0" xfId="1" applyNumberFormat="1" applyFont="1" applyAlignment="1">
      <alignment horizontal="center"/>
    </xf>
    <xf numFmtId="0" fontId="0" fillId="0" borderId="0" xfId="0" applyAlignment="1">
      <alignment horizontal="left"/>
    </xf>
    <xf numFmtId="166" fontId="0" fillId="0" borderId="0" xfId="0" applyNumberFormat="1"/>
    <xf numFmtId="0" fontId="4" fillId="0" borderId="2" xfId="0" applyFont="1" applyBorder="1" applyAlignment="1">
      <alignment horizontal="left"/>
    </xf>
    <xf numFmtId="166" fontId="4" fillId="0" borderId="2" xfId="0" applyNumberFormat="1" applyFont="1" applyBorder="1"/>
    <xf numFmtId="0" fontId="5" fillId="0" borderId="0" xfId="0" applyFont="1"/>
    <xf numFmtId="1" fontId="0" fillId="0" borderId="0" xfId="0" applyNumberFormat="1" applyAlignment="1">
      <alignment horizontal="center"/>
    </xf>
    <xf numFmtId="0" fontId="4" fillId="0" borderId="0" xfId="0" applyFont="1" applyAlignment="1">
      <alignment wrapText="1"/>
    </xf>
    <xf numFmtId="0" fontId="0" fillId="0" borderId="0" xfId="0" applyAlignment="1">
      <alignment wrapText="1"/>
    </xf>
    <xf numFmtId="0" fontId="3" fillId="2" borderId="0" xfId="0" applyFont="1" applyFill="1" applyAlignment="1">
      <alignment horizontal="center"/>
    </xf>
  </cellXfs>
  <cellStyles count="4">
    <cellStyle name="Comma" xfId="1" builtinId="3"/>
    <cellStyle name="Hyperlink 2 2" xfId="3" xr:uid="{F249171E-1D60-42F4-A03F-480C913218A3}"/>
    <cellStyle name="Normal" xfId="0" builtinId="0"/>
    <cellStyle name="Normal 2" xfId="2" xr:uid="{0CD8B2A8-DB45-4C19-8BF1-7AC1BB4A4279}"/>
  </cellStyles>
  <dxfs count="7">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microsoft.com/office/2020/07/relationships/rdRichValueWebImage" Target="richData/rdRichValueWebImage.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ortugal" TargetMode="External"/><Relationship Id="rId3" Type="http://schemas.openxmlformats.org/officeDocument/2006/relationships/hyperlink" Target="https://www.bing.com/th?id=AMMS_c8e707cdf8c98e126f2d5dde4447d146&amp;qlt=95" TargetMode="External"/><Relationship Id="rId7" Type="http://schemas.openxmlformats.org/officeDocument/2006/relationships/hyperlink" Target="https://www.bing.com/th?id=AMMS_83f899973a13a6bc332ec9f56c3f6816&amp;qlt=95" TargetMode="External"/><Relationship Id="rId2" Type="http://schemas.openxmlformats.org/officeDocument/2006/relationships/hyperlink" Target="https://www.bing.com/images/search?form=xlimg&amp;q=united+kingdom" TargetMode="External"/><Relationship Id="rId1" Type="http://schemas.openxmlformats.org/officeDocument/2006/relationships/hyperlink" Target="https://www.bing.com/th?id=AMMS_08d2869d43a589e2a364e67dfd999853&amp;qlt=95" TargetMode="External"/><Relationship Id="rId6" Type="http://schemas.openxmlformats.org/officeDocument/2006/relationships/hyperlink" Target="https://www.bing.com/images/search?form=xlimg&amp;q=lisbon+portugal" TargetMode="External"/><Relationship Id="rId5" Type="http://schemas.openxmlformats.org/officeDocument/2006/relationships/hyperlink" Target="https://www.bing.com/th?id=AMMS_4e6ba38179bb5da098ec4c9929960d9c&amp;qlt=95" TargetMode="External"/><Relationship Id="rId10" Type="http://schemas.openxmlformats.org/officeDocument/2006/relationships/hyperlink" Target="https://www.bing.com/images/search?form=xlimg&amp;q=germany" TargetMode="External"/><Relationship Id="rId4" Type="http://schemas.openxmlformats.org/officeDocument/2006/relationships/hyperlink" Target="https://www.bing.com/images/search?form=xlimg&amp;q=spain" TargetMode="External"/><Relationship Id="rId9" Type="http://schemas.openxmlformats.org/officeDocument/2006/relationships/hyperlink" Target="https://www.bing.com/th?id=AMMS_170e62536294e690a4ae289472616a73&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27">
  <a r="1">
    <v t="r">6</v>
  </a>
  <a r="2">
    <v t="s">British Summer Time</v>
    <v t="s">Greenwich Mean Time Zone</v>
  </a>
  <a r="4">
    <v t="r">31</v>
    <v t="r">32</v>
    <v t="r">33</v>
    <v t="r">34</v>
  </a>
  <a r="1">
    <v t="s">English</v>
  </a>
  <a r="150">
    <v t="r">53</v>
    <v t="r">54</v>
    <v t="r">55</v>
    <v t="r">1</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v t="r">153</v>
    <v t="r">154</v>
    <v t="r">155</v>
    <v t="r">156</v>
    <v t="r">157</v>
    <v t="r">158</v>
    <v t="r">159</v>
    <v t="r">160</v>
    <v t="r">161</v>
    <v t="r">162</v>
    <v t="r">163</v>
    <v t="r">164</v>
    <v t="r">165</v>
    <v t="r">166</v>
    <v t="r">167</v>
    <v t="s">Metropolitan Borough of Knowsley</v>
    <v t="r">168</v>
    <v t="s">Metropolitan Borough of Wirral</v>
    <v t="r">169</v>
    <v t="r">170</v>
    <v t="r">171</v>
    <v t="r">172</v>
    <v t="r">173</v>
    <v t="r">174</v>
    <v t="r">175</v>
    <v t="r">176</v>
    <v t="r">177</v>
    <v t="r">178</v>
    <v t="r">179</v>
    <v t="r">180</v>
    <v t="r">181</v>
    <v t="r">182</v>
    <v t="r">183</v>
    <v t="r">184</v>
    <v t="r">185</v>
    <v t="r">186</v>
    <v t="r">187</v>
    <v t="r">188</v>
    <v t="r">189</v>
    <v t="s">Outer Hebrides</v>
    <v t="r">190</v>
    <v t="r">191</v>
    <v t="r">192</v>
    <v t="r">193</v>
    <v t="r">194</v>
    <v t="r">195</v>
    <v t="r">196</v>
    <v t="r">197</v>
    <v t="r">198</v>
  </a>
  <a r="3">
    <v t="s">British Summer Time</v>
    <v t="s">Greenwich Mean Time Zone</v>
    <v t="s">Western European Time Zone</v>
  </a>
  <a r="2">
    <v t="s">José Luis Martínez-Almeida (Mayor)</v>
    <v t="r">211</v>
  </a>
  <a r="1">
    <v t="s">Central European Time Zone</v>
  </a>
  <a r="3">
    <v t="r">236</v>
    <v t="r">237</v>
    <v t="r">238</v>
  </a>
  <a r="1">
    <v t="s">Spanish</v>
  </a>
  <a r="59">
    <v t="r">257</v>
    <v t="r">258</v>
    <v t="r">259</v>
    <v t="r">260</v>
    <v t="r">207</v>
    <v t="r">261</v>
    <v t="r">262</v>
    <v t="r">263</v>
    <v t="r">264</v>
    <v t="r">265</v>
    <v t="r">266</v>
    <v t="r">267</v>
    <v t="r">268</v>
    <v t="r">269</v>
    <v t="r">270</v>
    <v t="r">271</v>
    <v t="r">272</v>
    <v t="r">273</v>
    <v t="r">274</v>
    <v t="s">Province of Cádiz</v>
    <v t="r">275</v>
    <v t="r">276</v>
    <v t="r">277</v>
    <v t="r">278</v>
    <v t="r">279</v>
    <v t="r">280</v>
    <v t="s">Province of Seville</v>
    <v t="s">Province of Granada</v>
    <v t="s">Province of Valladolid</v>
    <v t="r">281</v>
    <v t="r">282</v>
    <v t="s">Province of Segovia</v>
    <v t="r">283</v>
    <v t="s">Province of Palencia</v>
    <v t="r">284</v>
    <v t="r">285</v>
    <v t="r">286</v>
    <v t="r">287</v>
    <v t="r">288</v>
    <v t="r">289</v>
    <v t="r">290</v>
    <v t="r">291</v>
    <v t="s">Province of Jaén</v>
    <v t="r">292</v>
    <v t="r">293</v>
    <v t="r">294</v>
    <v t="r">295</v>
    <v t="r">296</v>
    <v t="s">Province of Burgos</v>
    <v t="s">Province of Málaga</v>
    <v t="r">297</v>
    <v t="s">Province of Huesca</v>
    <v t="s">Province of Soria</v>
    <v t="s">Province of Zamora</v>
    <v t="s">Province of Ciudad Real</v>
    <v t="s">Province of Teruel</v>
    <v t="s">Province of Guadalajara</v>
    <v t="r">298</v>
    <v t="s">Province of Las Palmas</v>
  </a>
  <a r="2">
    <v t="s">Central European Time Zone</v>
    <v t="s">Western European Time Zone</v>
  </a>
  <a r="2">
    <v t="s">Greenwich Mean Time Zone</v>
    <v t="s">Western European Time Zone</v>
  </a>
  <a r="2">
    <v t="r">333</v>
    <v t="r">334</v>
  </a>
  <a r="1">
    <v t="s">Portuguese</v>
  </a>
  <a r="20">
    <v t="r">353</v>
    <v t="r">307</v>
    <v t="r">354</v>
    <v t="r">355</v>
    <v t="r">356</v>
    <v t="r">357</v>
    <v t="r">358</v>
    <v t="r">359</v>
    <v t="r">360</v>
    <v t="r">361</v>
    <v t="r">362</v>
    <v t="r">363</v>
    <v t="r">364</v>
    <v t="r">365</v>
    <v t="r">366</v>
    <v t="r">367</v>
    <v t="r">368</v>
    <v t="r">369</v>
    <v t="r">370</v>
    <v t="r">371</v>
  </a>
  <a r="1">
    <v t="s">Western European Time Zone</v>
  </a>
  <a r="1">
    <v t="r">384</v>
  </a>
  <a r="3">
    <v t="s">Central European Summer Time</v>
    <v t="s">Central European Time Zone</v>
    <v t="s">W. Europe Standard Time</v>
  </a>
  <a r="4">
    <v t="r">408</v>
    <v t="r">409</v>
    <v t="r">410</v>
    <v t="r">410</v>
  </a>
  <a r="1">
    <v t="s">German</v>
  </a>
  <a r="16">
    <v t="r">428</v>
    <v t="r">379</v>
    <v t="r">429</v>
    <v t="r">430</v>
    <v t="r">431</v>
    <v t="r">432</v>
    <v t="s">Thuringia</v>
    <v t="r">433</v>
    <v t="r">434</v>
    <v t="r">435</v>
    <v t="r">436</v>
    <v t="r">437</v>
    <v t="r">438</v>
    <v t="r">439</v>
    <v t="r">440</v>
    <v t="r">441</v>
  </a>
  <a r="2">
    <v t="s">Central European Summer Time</v>
    <v t="s">Central European Time Zone</v>
  </a>
  <a r="1">
    <v t="r">454</v>
  </a>
  <a r="7">
    <v t="r">476</v>
    <v t="r">477</v>
    <v t="r">478</v>
    <v t="s">Jean Castex (Prime Minister)</v>
    <v t="r">479</v>
    <v t="r">480</v>
    <v t="r">481</v>
  </a>
  <a r="1">
    <v t="s">French</v>
  </a>
  <a r="132">
    <v t="r">499</v>
    <v t="r">449</v>
    <v t="r">500</v>
    <v t="s">Alsace</v>
    <v t="r">501</v>
    <v t="r">502</v>
    <v t="s">Brittany</v>
    <v t="s">Lorraine</v>
    <v t="r">503</v>
    <v t="r">504</v>
    <v t="r">505</v>
    <v t="r">506</v>
    <v t="r">507</v>
    <v t="r">508</v>
    <v t="r">509</v>
    <v t="r">510</v>
    <v t="r">511</v>
    <v t="r">512</v>
    <v t="r">513</v>
    <v t="s">Burgundy</v>
    <v t="s">Loire</v>
    <v t="r">514</v>
    <v t="s">Poitou-Charentes</v>
    <v t="r">515</v>
    <v t="r">516</v>
    <v t="r">517</v>
    <v t="r">518</v>
    <v t="r">519</v>
    <v t="r">520</v>
    <v t="r">521</v>
    <v t="s">Picardy</v>
    <v t="r">522</v>
    <v t="s">Limousin</v>
    <v t="r">523</v>
    <v t="r">524</v>
    <v t="s">Auvergne</v>
    <v t="r">525</v>
    <v t="r">526</v>
    <v t="s">Franche-Comté</v>
    <v t="r">527</v>
    <v t="s">Rhône-Alpes</v>
    <v t="s">Midi-Pyrénées</v>
    <v t="r">528</v>
    <v t="r">529</v>
    <v t="r">530</v>
    <v t="r">531</v>
    <v t="s">Languedoc-Roussillon</v>
    <v t="s">Nord-Pas-de-Calais</v>
    <v t="r">532</v>
    <v t="s">Aquitaine</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v t="r">590</v>
    <v t="r">591</v>
    <v t="r">592</v>
    <v t="r">593</v>
    <v t="r">594</v>
    <v t="r">595</v>
    <v t="r">596</v>
    <v t="r">597</v>
    <v t="r">598</v>
    <v t="r">599</v>
    <v t="r">600</v>
    <v t="r">601</v>
    <v t="r">602</v>
    <v t="r">603</v>
    <v t="r">604</v>
    <v t="r">605</v>
    <v t="s">Lower Normandy</v>
    <v t="s">Upper Normandy</v>
    <v t="r">606</v>
    <v t="r">607</v>
    <v t="r">608</v>
    <v t="r">609</v>
    <v t="r">610</v>
    <v t="r">611</v>
    <v t="s">Champagne-Ardenne</v>
  </a>
</arrayData>
</file>

<file path=xl/richData/rdrichvalue.xml><?xml version="1.0" encoding="utf-8"?>
<rvData xmlns="http://schemas.microsoft.com/office/spreadsheetml/2017/richdata" count="618">
  <rv s="0">
    <v>536870912</v>
    <v>London</v>
    <v>8e0ba7b6-4225-fa8a-6369-1b5294e602a5</v>
    <v>en-GB</v>
    <v>Map</v>
  </rv>
  <rv s="0">
    <v>536870912</v>
    <v>England</v>
    <v>280d39e8-7217-6863-6980-a8c20c211c89</v>
    <v>en-GB</v>
    <v>Map</v>
  </rv>
  <rv s="0">
    <v>536870912</v>
    <v>Greater London</v>
    <v>2ba8a441-178c-f2c0-26cb-a4b260b8c806</v>
    <v>en-GB</v>
    <v>Map</v>
  </rv>
  <rv s="1">
    <fb>1572</fb>
    <v>12</v>
  </rv>
  <rv s="0">
    <v>536870912</v>
    <v>United Kingdom</v>
    <v>b1a5155a-6bb2-4646-8f7c-3e6b3a53c831</v>
    <v>en-GB</v>
    <v>Map</v>
  </rv>
  <rv s="1">
    <fb>51.500152399999997</fb>
    <v>13</v>
  </rv>
  <rv s="0">
    <v>805306368</v>
    <v>Sadiq Khan (Mayor)</v>
    <v>d7862dc2-4c03-1dc8-3412-7fe03041fdcb</v>
    <v>en-GB</v>
    <v>Generic</v>
  </rv>
  <rv s="2">
    <v>0</v>
  </rv>
  <rv s="3">
    <v>https://www.bing.com/search?q=london+england&amp;form=skydnc</v>
    <v>Learn more on Bing</v>
  </rv>
  <rv s="1">
    <fb>-0.12623619999999999</fb>
    <v>13</v>
  </rv>
  <rv s="1">
    <fb>9002488</fb>
    <v>12</v>
  </rv>
  <rv s="2">
    <v>1</v>
  </rv>
  <rv s="4">
    <v>#VALUE!</v>
    <v>en-GB</v>
    <v>8e0ba7b6-4225-fa8a-6369-1b5294e602a5</v>
    <v>536870912</v>
    <v>1</v>
    <v>4</v>
    <v>5</v>
    <v>London</v>
    <v>8</v>
    <v>9</v>
    <v>Map</v>
    <v>10</v>
    <v>11</v>
    <v>1</v>
    <v>2</v>
    <v>3</v>
    <v>4</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5</v>
    <v>7</v>
    <v>8</v>
    <v>9</v>
    <v>London</v>
    <v>10</v>
    <v>11</v>
    <v>London</v>
    <v>mdp/vdpid/5471798185326280713</v>
  </rv>
  <rv s="1">
    <fb>0.71714878141404492</fb>
    <v>38</v>
  </rv>
  <rv s="1">
    <fb>243610</fb>
    <v>12</v>
  </rv>
  <rv s="1">
    <fb>148000</fb>
    <v>12</v>
  </rv>
  <rv s="1">
    <fb>11</fb>
    <v>39</v>
  </rv>
  <rv s="1">
    <fb>44</fb>
    <v>40</v>
  </rv>
  <rv s="1">
    <fb>379024.78700000001</fb>
    <v>12</v>
  </rv>
  <rv s="1">
    <fb>119.622711300166</fb>
    <v>41</v>
  </rv>
  <rv s="1">
    <fb>1.7381046008651101E-2</fb>
    <v>38</v>
  </rv>
  <rv s="1">
    <fb>5129.5277927901998</fb>
    <v>12</v>
  </rv>
  <rv s="1">
    <fb>1.68</fb>
    <v>39</v>
  </rv>
  <rv s="1">
    <fb>0.130657628239573</fb>
    <v>38</v>
  </rv>
  <rv s="1">
    <fb>80.351771267255202</fb>
    <v>42</v>
  </rv>
  <rv s="1">
    <fb>1.46</fb>
    <v>43</v>
  </rv>
  <rv s="1">
    <fb>2827113184695.5801</fb>
    <v>44</v>
  </rv>
  <rv s="1">
    <fb>1.0115456</fb>
    <v>38</v>
  </rv>
  <rv s="1">
    <fb>0.59995569999999998</fb>
    <v>38</v>
  </rv>
  <rv s="5">
    <v>0</v>
    <v>10</v>
    <v>45</v>
    <v>6</v>
    <v>0</v>
    <v>Image of United Kingdom</v>
  </rv>
  <rv s="1">
    <fb>3.6</fb>
    <v>42</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2</v>
  </rv>
  <rv s="3">
    <v>https://www.bing.com/search?q=united+kingdom&amp;form=skydnc</v>
    <v>Learn more on Bing</v>
  </rv>
  <rv s="1">
    <fb>81.256097560975604</fb>
    <v>42</v>
  </rv>
  <rv s="1">
    <fb>1868152970000</fb>
    <v>44</v>
  </rv>
  <rv s="1">
    <fb>7</fb>
    <v>42</v>
  </rv>
  <rv s="1">
    <fb>10.130000000000001</fb>
    <v>43</v>
  </rv>
  <rv s="2">
    <v>3</v>
  </rv>
  <rv s="1">
    <fb>0.14794489889999998</fb>
    <v>38</v>
  </rv>
  <rv s="1">
    <fb>2.8117000000000001</fb>
    <v>39</v>
  </rv>
  <rv s="1">
    <fb>66834405</fb>
    <v>12</v>
  </rv>
  <rv s="1">
    <fb>0.22500000000000001</fb>
    <v>38</v>
  </rv>
  <rv s="1">
    <fb>0.26800000000000002</fb>
    <v>38</v>
  </rv>
  <rv s="1">
    <fb>0.42100000000000004</fb>
    <v>38</v>
  </rv>
  <rv s="1">
    <fb>2.7999999999999997E-2</fb>
    <v>38</v>
  </rv>
  <rv s="1">
    <fb>7.0999999999999994E-2</fb>
    <v>38</v>
  </rv>
  <rv s="1">
    <fb>0.11900000000000001</fb>
    <v>38</v>
  </rv>
  <rv s="1">
    <fb>0.16399999999999998</fb>
    <v>38</v>
  </rv>
  <rv s="1">
    <fb>0.62773998260497998</fb>
    <v>38</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4</v>
  </rv>
  <rv s="1">
    <fb>0.255052921600669</fb>
    <v>38</v>
  </rv>
  <rv s="2">
    <v>5</v>
  </rv>
  <rv s="1">
    <fb>0.30599999999999999</fb>
    <v>38</v>
  </rv>
  <rv s="1">
    <fb>3.8510000705719E-2</fb>
    <v>46</v>
  </rv>
  <rv s="1">
    <fb>55908316</fb>
    <v>12</v>
  </rv>
  <rv s="6">
    <v>#VALUE!</v>
    <v>en-GB</v>
    <v>b1a5155a-6bb2-4646-8f7c-3e6b3a53c831</v>
    <v>536870912</v>
    <v>1</v>
    <v>34</v>
    <v>35</v>
    <v>United Kingdom</v>
    <v>8</v>
    <v>36</v>
    <v>Map</v>
    <v>10</v>
    <v>37</v>
    <v>GB</v>
    <v>13</v>
    <v>14</v>
    <v>15</v>
    <v>16</v>
    <v>17</v>
    <v>0</v>
    <v>18</v>
    <v>19</v>
    <v>20</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21</v>
    <v>22</v>
    <v>23</v>
    <v>24</v>
    <v>25</v>
    <v>26</v>
    <v>27</v>
    <v>28</v>
    <v>29</v>
    <v>30</v>
    <v>0</v>
    <v>35</v>
    <v>36</v>
    <v>37</v>
    <v>38</v>
    <v>39</v>
    <v>40</v>
    <v>United Kingdom</v>
    <v>God Save the Queen</v>
    <v>41</v>
    <v>United Kingdom of Great Britain and Northern Ireland</v>
    <v>42</v>
    <v>43</v>
    <v>44</v>
    <v>45</v>
    <v>46</v>
    <v>47</v>
    <v>48</v>
    <v>49</v>
    <v>50</v>
    <v>51</v>
    <v>52</v>
    <v>199</v>
    <v>200</v>
    <v>201</v>
    <v>202</v>
    <v>203</v>
    <v>United Kingdom</v>
    <v>204</v>
    <v>mdp/vdpid/242</v>
  </rv>
  <rv s="0">
    <v>536870912</v>
    <v>Madrid</v>
    <v>a497c067-c4c6-4bf4-9a5d-34fd30589bda</v>
    <v>en-GB</v>
    <v>Map</v>
  </rv>
  <rv s="0">
    <v>536870912</v>
    <v>Community of Madrid</v>
    <v>854c08ed-f6d7-c812-1a3f-46928ae0597e</v>
    <v>en-GB</v>
    <v>Map</v>
  </rv>
  <rv s="1">
    <fb>604.29999999999995</fb>
    <v>12</v>
  </rv>
  <rv s="0">
    <v>536870912</v>
    <v>Spain</v>
    <v>1baf9d59-f443-e9f4-6e49-de048a073e3f</v>
    <v>en-GB</v>
    <v>Map</v>
  </rv>
  <rv s="1">
    <fb>40.416690899999999</fb>
    <v>13</v>
  </rv>
  <rv s="0">
    <v>805306368</v>
    <v>Manuela Carmena (Mayor)</v>
    <v>22b84f13-a006-51f6-9168-1a4d6061ea2f</v>
    <v>en-GB</v>
    <v>Generic</v>
  </rv>
  <rv s="2">
    <v>6</v>
  </rv>
  <rv s="3">
    <v>https://www.bing.com/search?q=madrid+spain&amp;form=skydnc</v>
    <v>Learn more on Bing</v>
  </rv>
  <rv s="1">
    <fb>-3.7003453999999998</fb>
    <v>13</v>
  </rv>
  <rv s="1">
    <fb>3233527</fb>
    <v>12</v>
  </rv>
  <rv s="2">
    <v>7</v>
  </rv>
  <rv s="7">
    <v>#VALUE!</v>
    <v>en-GB</v>
    <v>a497c067-c4c6-4bf4-9a5d-34fd30589bda</v>
    <v>536870912</v>
    <v>1</v>
    <v>50</v>
    <v>51</v>
    <v>Madrid</v>
    <v>8</v>
    <v>9</v>
    <v>Map</v>
    <v>10</v>
    <v>52</v>
    <v>207</v>
    <v>208</v>
    <v>209</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210</v>
    <v>212</v>
    <v>213</v>
    <v>214</v>
    <v>Madrid</v>
    <v>215</v>
    <v>216</v>
    <v>Madrid</v>
    <v>mdp/vdpid/5669357583933112321</v>
  </rv>
  <rv s="1">
    <fb>0.52577247440306896</fb>
    <v>38</v>
  </rv>
  <rv s="1">
    <fb>505370</fb>
    <v>12</v>
  </rv>
  <rv s="1">
    <fb>196000</fb>
    <v>12</v>
  </rv>
  <rv s="1">
    <fb>7.9</fb>
    <v>39</v>
  </rv>
  <rv s="1">
    <fb>34</fb>
    <v>40</v>
  </rv>
  <rv s="1">
    <fb>244002.18</fb>
    <v>12</v>
  </rv>
  <rv s="1">
    <fb>110.96151904206</fb>
    <v>41</v>
  </rv>
  <rv s="1">
    <fb>6.9953624171701497E-3</fb>
    <v>38</v>
  </rv>
  <rv s="1">
    <fb>5355.9870055822103</fb>
    <v>12</v>
  </rv>
  <rv s="1">
    <fb>1.26</fb>
    <v>39</v>
  </rv>
  <rv s="1">
    <fb>0.36936209528965797</fb>
    <v>38</v>
  </rv>
  <rv s="1">
    <fb>72.955546118337793</fb>
    <v>42</v>
  </rv>
  <rv s="1">
    <fb>1.26</fb>
    <v>43</v>
  </rv>
  <rv s="1">
    <fb>1394116310768.6299</fb>
    <v>44</v>
  </rv>
  <rv s="1">
    <fb>1.0271029</fb>
    <v>38</v>
  </rv>
  <rv s="1">
    <fb>0.88853009999999999</fb>
    <v>38</v>
  </rv>
  <rv s="5">
    <v>1</v>
    <v>10</v>
    <v>61</v>
    <v>6</v>
    <v>0</v>
    <v>Image of Spain</v>
  </rv>
  <rv s="1">
    <fb>2.5</fb>
    <v>42</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8</v>
  </rv>
  <rv s="3">
    <v>https://www.bing.com/search?q=spain&amp;form=skydnc</v>
    <v>Learn more on Bing</v>
  </rv>
  <rv s="1">
    <fb>83.334146341463395</fb>
    <v>42</v>
  </rv>
  <rv s="1">
    <fb>797285840000</fb>
    <v>44</v>
  </rv>
  <rv s="1">
    <fb>4</fb>
    <v>42</v>
  </rv>
  <rv s="1">
    <fb>5.6</fb>
    <v>43</v>
  </rv>
  <rv s="2">
    <v>9</v>
  </rv>
  <rv s="1">
    <fb>0.24229018520000001</fb>
    <v>38</v>
  </rv>
  <rv s="1">
    <fb>3.8723000000000001</fb>
    <v>39</v>
  </rv>
  <rv s="1">
    <fb>47076781</fb>
    <v>12</v>
  </rv>
  <rv s="1">
    <fb>0.23399999999999999</fb>
    <v>38</v>
  </rv>
  <rv s="1">
    <fb>0.254</fb>
    <v>38</v>
  </rv>
  <rv s="1">
    <fb>0.41</fb>
    <v>38</v>
  </rv>
  <rv s="1">
    <fb>2.1000000000000001E-2</fb>
    <v>38</v>
  </rv>
  <rv s="1">
    <fb>6.2E-2</fb>
    <v>38</v>
  </rv>
  <rv s="1">
    <fb>0.122</fb>
    <v>38</v>
  </rv>
  <rv s="1">
    <fb>0.17199999999999999</fb>
    <v>38</v>
  </rv>
  <rv s="1">
    <fb>0.57492000579834002</fb>
    <v>38</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10</v>
  </rv>
  <rv s="1">
    <fb>0.14248211393678101</fb>
    <v>38</v>
  </rv>
  <rv s="2">
    <v>11</v>
  </rv>
  <rv s="1">
    <fb>0.47</fb>
    <v>38</v>
  </rv>
  <rv s="1">
    <fb>0.13958999633789099</fb>
    <v>46</v>
  </rv>
  <rv s="1">
    <fb>37927409</fb>
    <v>12</v>
  </rv>
  <rv s="6">
    <v>#VALUE!</v>
    <v>en-GB</v>
    <v>1baf9d59-f443-e9f4-6e49-de048a073e3f</v>
    <v>536870912</v>
    <v>1</v>
    <v>59</v>
    <v>35</v>
    <v>Spain</v>
    <v>8</v>
    <v>36</v>
    <v>Map</v>
    <v>10</v>
    <v>60</v>
    <v>ES</v>
    <v>218</v>
    <v>219</v>
    <v>220</v>
    <v>221</v>
    <v>222</v>
    <v>206</v>
    <v>223</v>
    <v>224</v>
    <v>225</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226</v>
    <v>227</v>
    <v>228</v>
    <v>229</v>
    <v>230</v>
    <v>231</v>
    <v>232</v>
    <v>233</v>
    <v>234</v>
    <v>235</v>
    <v>206</v>
    <v>239</v>
    <v>240</v>
    <v>241</v>
    <v>242</v>
    <v>243</v>
    <v>244</v>
    <v>Spain</v>
    <v>Marcha Real</v>
    <v>245</v>
    <v>Spain</v>
    <v>246</v>
    <v>247</v>
    <v>248</v>
    <v>249</v>
    <v>250</v>
    <v>251</v>
    <v>252</v>
    <v>253</v>
    <v>254</v>
    <v>255</v>
    <v>256</v>
    <v>299</v>
    <v>300</v>
    <v>301</v>
    <v>302</v>
    <v>303</v>
    <v>Spain</v>
    <v>304</v>
    <v>mdp/vdpid/217</v>
  </rv>
  <rv s="0">
    <v>536870912</v>
    <v>Lisbon</v>
    <v>9d006cb5-bff4-48b4-9c83-443eaf418b11</v>
    <v>en-GB</v>
    <v>Map</v>
  </rv>
  <rv s="0">
    <v>536870912</v>
    <v>Lisbon District</v>
    <v>9aabe4c9-f2ff-745a-22b7-741589d147d3</v>
    <v>en-GB</v>
    <v>Map</v>
  </rv>
  <rv s="1">
    <fb>100.05</fb>
    <v>12</v>
  </rv>
  <rv s="0">
    <v>536870912</v>
    <v>Portugal</v>
    <v>9e917e65-c588-a0b7-f336-52fc6b5b2052</v>
    <v>en-GB</v>
    <v>Map</v>
  </rv>
  <rv s="5">
    <v>2</v>
    <v>10</v>
    <v>69</v>
    <v>6</v>
    <v>0</v>
    <v>Image of Lisbon</v>
  </rv>
  <rv s="3">
    <v>https://www.bing.com/search?q=lisbon+portugal&amp;form=skydnc</v>
    <v>Learn more on Bing</v>
  </rv>
  <rv s="1">
    <fb>544851</fb>
    <v>12</v>
  </rv>
  <rv s="2">
    <v>12</v>
  </rv>
  <rv s="8">
    <v>#VALUE!</v>
    <v>en-GB</v>
    <v>9d006cb5-bff4-48b4-9c83-443eaf418b11</v>
    <v>536870912</v>
    <v>1</v>
    <v>66</v>
    <v>67</v>
    <v>Lisbon</v>
    <v>68</v>
    <v>36</v>
    <v>Map</v>
    <v>10</v>
    <v>11</v>
    <v>307</v>
    <v>308</v>
    <v>309</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310</v>
    <v>311</v>
    <v>Lisbon</v>
    <v>312</v>
    <v>313</v>
    <v>Lisbon</v>
    <v>mdp/vdpid/161498680</v>
  </rv>
  <rv s="1">
    <fb>0.39452940398253294</fb>
    <v>38</v>
  </rv>
  <rv s="1">
    <fb>92212</fb>
    <v>12</v>
  </rv>
  <rv s="1">
    <fb>52000</fb>
    <v>12</v>
  </rv>
  <rv s="1">
    <fb>8.5</fb>
    <v>39</v>
  </rv>
  <rv s="1">
    <fb>351</fb>
    <v>40</v>
  </rv>
  <rv s="1">
    <fb>48741.764000000003</fb>
    <v>12</v>
  </rv>
  <rv s="1">
    <fb>110.624358614714</fb>
    <v>41</v>
  </rv>
  <rv s="1">
    <fb>3.3817841004612497E-3</fb>
    <v>38</v>
  </rv>
  <rv s="1">
    <fb>4662.6007998029399</fb>
    <v>12</v>
  </rv>
  <rv s="1">
    <fb>1.38</fb>
    <v>39</v>
  </rv>
  <rv s="1">
    <fb>0.34611423825368903</fb>
    <v>38</v>
  </rv>
  <rv s="1">
    <fb>77.024122555839</fb>
    <v>42</v>
  </rv>
  <rv s="1">
    <fb>1.54</fb>
    <v>43</v>
  </rv>
  <rv s="1">
    <fb>237686075634.698</fb>
    <v>44</v>
  </rv>
  <rv s="1">
    <fb>1.0618313000000001</fb>
    <v>38</v>
  </rv>
  <rv s="1">
    <fb>0.63935809999999993</fb>
    <v>38</v>
  </rv>
  <rv s="5">
    <v>3</v>
    <v>10</v>
    <v>78</v>
    <v>6</v>
    <v>0</v>
    <v>Image of Portugal</v>
  </rv>
  <rv s="1">
    <fb>3.1</fb>
    <v>42</v>
  </rv>
  <rv s="0">
    <v>805306368</v>
    <v>António Costa (Prime Minister)</v>
    <v>461f25f6-d38c-4199-a2e3-c82f6d34e8cb</v>
    <v>en-GB</v>
    <v>Generic</v>
  </rv>
  <rv s="0">
    <v>805306368</v>
    <v>Marcelo Rebelo de Sousa (President)</v>
    <v>cd15af88-d571-7e9f-0e69-8c7f54821ed3</v>
    <v>en-GB</v>
    <v>Generic</v>
  </rv>
  <rv s="2">
    <v>13</v>
  </rv>
  <rv s="3">
    <v>https://www.bing.com/search?q=portugal&amp;form=skydnc</v>
    <v>Learn more on Bing</v>
  </rv>
  <rv s="1">
    <fb>81.3243902439024</fb>
    <v>42</v>
  </rv>
  <rv s="1">
    <fb>61933604857.411003</fb>
    <v>44</v>
  </rv>
  <rv s="1">
    <fb>8</fb>
    <v>42</v>
  </rv>
  <rv s="1">
    <fb>3.78</fb>
    <v>43</v>
  </rv>
  <rv s="2">
    <v>14</v>
  </rv>
  <rv s="1">
    <fb>0.27650697260000001</fb>
    <v>38</v>
  </rv>
  <rv s="1">
    <fb>5.1239999999999997</fb>
    <v>39</v>
  </rv>
  <rv s="1">
    <fb>10269417</fb>
    <v>12</v>
  </rv>
  <rv s="1">
    <fb>0.221</fb>
    <v>38</v>
  </rv>
  <rv s="1">
    <fb>0.26700000000000002</fb>
    <v>38</v>
  </rv>
  <rv s="1">
    <fb>0.41600000000000004</fb>
    <v>38</v>
  </rv>
  <rv s="1">
    <fb>2.7000000000000003E-2</fb>
    <v>38</v>
  </rv>
  <rv s="1">
    <fb>7.400000000000001E-2</fb>
    <v>38</v>
  </rv>
  <rv s="1">
    <fb>0.124</fb>
    <v>38</v>
  </rv>
  <rv s="1">
    <fb>0.16500000000000001</fb>
    <v>38</v>
  </rv>
  <rv s="1">
    <fb>0.58811000823974602</fb>
    <v>38</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15</v>
  </rv>
  <rv s="1">
    <fb>0.227551770073532</fb>
    <v>38</v>
  </rv>
  <rv s="2">
    <v>16</v>
  </rv>
  <rv s="1">
    <fb>0.39799999999999996</fb>
    <v>38</v>
  </rv>
  <rv s="1">
    <fb>6.33400011062622E-2</fb>
    <v>46</v>
  </rv>
  <rv s="1">
    <fb>6753579</fb>
    <v>12</v>
  </rv>
  <rv s="6">
    <v>#VALUE!</v>
    <v>en-GB</v>
    <v>9e917e65-c588-a0b7-f336-52fc6b5b2052</v>
    <v>536870912</v>
    <v>1</v>
    <v>76</v>
    <v>35</v>
    <v>Portugal</v>
    <v>8</v>
    <v>36</v>
    <v>Map</v>
    <v>10</v>
    <v>77</v>
    <v>PT</v>
    <v>315</v>
    <v>316</v>
    <v>317</v>
    <v>318</v>
    <v>319</v>
    <v>306</v>
    <v>320</v>
    <v>321</v>
    <v>322</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323</v>
    <v>324</v>
    <v>325</v>
    <v>326</v>
    <v>327</v>
    <v>328</v>
    <v>329</v>
    <v>330</v>
    <v>331</v>
    <v>332</v>
    <v>306</v>
    <v>335</v>
    <v>336</v>
    <v>337</v>
    <v>338</v>
    <v>339</v>
    <v>340</v>
    <v>Portugal</v>
    <v>A Portuguesa</v>
    <v>341</v>
    <v>Portugal</v>
    <v>342</v>
    <v>343</v>
    <v>344</v>
    <v>345</v>
    <v>346</v>
    <v>347</v>
    <v>348</v>
    <v>349</v>
    <v>350</v>
    <v>351</v>
    <v>352</v>
    <v>372</v>
    <v>373</v>
    <v>374</v>
    <v>375</v>
    <v>376</v>
    <v>Portugal</v>
    <v>377</v>
    <v>mdp/vdpid/193</v>
  </rv>
  <rv s="0">
    <v>536870912</v>
    <v>Berlin</v>
    <v>42784943-7c23-7672-5527-06f89b965cdf</v>
    <v>en-GB</v>
    <v>Map</v>
  </rv>
  <rv s="1">
    <fb>891.85</fb>
    <v>12</v>
  </rv>
  <rv s="0">
    <v>536870912</v>
    <v>Germany</v>
    <v>75c62d8e-1449-4e4d-b188-d9e88f878dd9</v>
    <v>en-GB</v>
    <v>Map</v>
  </rv>
  <rv s="1">
    <fb>1794936</fb>
    <v>12</v>
  </rv>
  <rv s="1">
    <fb>1868905</fb>
    <v>12</v>
  </rv>
  <rv s="0">
    <v>805306368</v>
    <v>Franziska Giffey (Mayor)</v>
    <v>0f36a115-cd69-74b0-1ad8-5ee6074d7916</v>
    <v>en-GB</v>
    <v>Generic</v>
  </rv>
  <rv s="2">
    <v>17</v>
  </rv>
  <rv s="3">
    <v>https://www.bing.com/search?q=berlin+germany&amp;form=skydnc</v>
    <v>Learn more on Bing</v>
  </rv>
  <rv s="1">
    <fb>1.83</fb>
    <v>39</v>
  </rv>
  <rv s="1">
    <fb>3769495</fb>
    <v>12</v>
  </rv>
  <rv s="2">
    <v>18</v>
  </rv>
  <rv s="9">
    <v>#VALUE!</v>
    <v>en-GB</v>
    <v>42784943-7c23-7672-5527-06f89b965cdf</v>
    <v>536870912</v>
    <v>1</v>
    <v>83</v>
    <v>84</v>
    <v>Berlin</v>
    <v>8</v>
    <v>9</v>
    <v>Map</v>
    <v>10</v>
    <v>85</v>
    <v>DE-BE</v>
    <v>380</v>
    <v>381</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382</v>
    <v>383</v>
    <v>385</v>
    <v>386</v>
    <v>Berlin</v>
    <v>387</v>
    <v>388</v>
    <v>389</v>
    <v>Berlin</v>
    <v>mdp/vdpid/7017957146650214401</v>
  </rv>
  <rv s="1">
    <fb>0.47678612319670299</fb>
    <v>38</v>
  </rv>
  <rv s="1">
    <fb>357022</fb>
    <v>12</v>
  </rv>
  <rv s="1">
    <fb>180000</fb>
    <v>12</v>
  </rv>
  <rv s="1">
    <fb>9.5</fb>
    <v>39</v>
  </rv>
  <rv s="1">
    <fb>49</fb>
    <v>40</v>
  </rv>
  <rv s="1">
    <fb>727972.84</fb>
    <v>12</v>
  </rv>
  <rv s="1">
    <fb>112.854887342124</fb>
    <v>41</v>
  </rv>
  <rv s="1">
    <fb>1.4456670146976E-2</fb>
    <v>38</v>
  </rv>
  <rv s="1">
    <fb>7035.4829747167596</fb>
    <v>12</v>
  </rv>
  <rv s="1">
    <fb>1.56</fb>
    <v>39</v>
  </rv>
  <rv s="1">
    <fb>0.326912067781085</fb>
    <v>38</v>
  </rv>
  <rv s="1">
    <fb>78.862551056754995</fb>
    <v>42</v>
  </rv>
  <rv s="1">
    <fb>1.39</fb>
    <v>43</v>
  </rv>
  <rv s="1">
    <fb>3845630030823.52</fb>
    <v>44</v>
  </rv>
  <rv s="1">
    <fb>1.0402236</fb>
    <v>38</v>
  </rv>
  <rv s="1">
    <fb>0.70246649999999999</fb>
    <v>38</v>
  </rv>
  <rv s="5">
    <v>4</v>
    <v>10</v>
    <v>95</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19</v>
  </rv>
  <rv s="3">
    <v>https://www.bing.com/search?q=germany&amp;form=skydnc</v>
    <v>Learn more on Bing</v>
  </rv>
  <rv s="1">
    <fb>80.892682926829295</fb>
    <v>42</v>
  </rv>
  <rv s="1">
    <fb>2098173930000</fb>
    <v>44</v>
  </rv>
  <rv s="1">
    <fb>9.99</fb>
    <v>43</v>
  </rv>
  <rv s="2">
    <v>20</v>
  </rv>
  <rv s="1">
    <fb>0.12528421940000001</fb>
    <v>38</v>
  </rv>
  <rv s="1">
    <fb>4.2488000000000001</fb>
    <v>39</v>
  </rv>
  <rv s="1">
    <fb>83132799</fb>
    <v>12</v>
  </rv>
  <rv s="1">
    <fb>0.22800000000000001</fb>
    <v>38</v>
  </rv>
  <rv s="1">
    <fb>0.24600000000000002</fb>
    <v>38</v>
  </rv>
  <rv s="1">
    <fb>0.39600000000000002</fb>
    <v>38</v>
  </rv>
  <rv s="1">
    <fb>2.8999999999999998E-2</fb>
    <v>38</v>
  </rv>
  <rv s="1">
    <fb>7.5999999999999998E-2</fb>
    <v>38</v>
  </rv>
  <rv s="1">
    <fb>0.128</fb>
    <v>38</v>
  </rv>
  <rv s="1">
    <fb>0.17100000000000001</fb>
    <v>38</v>
  </rv>
  <rv s="1">
    <fb>0.60811000823974604</fb>
    <v>38</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21</v>
  </rv>
  <rv s="1">
    <fb>0.11505903952014901</fb>
    <v>38</v>
  </rv>
  <rv s="2">
    <v>22</v>
  </rv>
  <rv s="1">
    <fb>0.48799999999999999</fb>
    <v>38</v>
  </rv>
  <rv s="1">
    <fb>3.0429999828338602E-2</fb>
    <v>46</v>
  </rv>
  <rv s="1">
    <fb>64324835</fb>
    <v>12</v>
  </rv>
  <rv s="6">
    <v>#VALUE!</v>
    <v>en-GB</v>
    <v>75c62d8e-1449-4e4d-b188-d9e88f878dd9</v>
    <v>536870912</v>
    <v>1</v>
    <v>93</v>
    <v>35</v>
    <v>Germany</v>
    <v>8</v>
    <v>36</v>
    <v>Map</v>
    <v>10</v>
    <v>94</v>
    <v>DE</v>
    <v>391</v>
    <v>392</v>
    <v>393</v>
    <v>394</v>
    <v>395</v>
    <v>379</v>
    <v>396</v>
    <v>397</v>
    <v>398</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399</v>
    <v>400</v>
    <v>401</v>
    <v>402</v>
    <v>403</v>
    <v>404</v>
    <v>405</v>
    <v>406</v>
    <v>407</v>
    <v>332</v>
    <v>379</v>
    <v>411</v>
    <v>412</v>
    <v>413</v>
    <v>414</v>
    <v>39</v>
    <v>415</v>
    <v>Germany</v>
    <v>Deutschlandlied</v>
    <v>416</v>
    <v>Federal Republic of Germany</v>
    <v>417</v>
    <v>418</v>
    <v>419</v>
    <v>420</v>
    <v>421</v>
    <v>422</v>
    <v>423</v>
    <v>424</v>
    <v>425</v>
    <v>426</v>
    <v>427</v>
    <v>442</v>
    <v>443</v>
    <v>444</v>
    <v>445</v>
    <v>446</v>
    <v>Germany</v>
    <v>447</v>
    <v>mdp/vdpid/94</v>
  </rv>
  <rv s="0">
    <v>536870912</v>
    <v>Paris</v>
    <v>85584d24-2116-5b98-89f9-5714db931ac6</v>
    <v>en-GB</v>
    <v>Map</v>
  </rv>
  <rv s="0">
    <v>536870912</v>
    <v>Île-de-France</v>
    <v>ba200862-fc37-6d22-3434-c6e709faa507</v>
    <v>en-GB</v>
    <v>Map</v>
  </rv>
  <rv s="1">
    <fb>105.4</fb>
    <v>12</v>
  </rv>
  <rv s="0">
    <v>536870912</v>
    <v>France</v>
    <v>c7bfe2de-4f82-e23c-ae42-8544b5b5c0ea</v>
    <v>en-GB</v>
    <v>Map</v>
  </rv>
  <rv s="1">
    <fb>48.856895000000002</fb>
    <v>13</v>
  </rv>
  <rv s="0">
    <v>805306368</v>
    <v>Anne Hidalgo (Mayor)</v>
    <v>f26212ed-b25d-e4f8-ecf0-85777b9d38cf</v>
    <v>en-GB</v>
    <v>Generic</v>
  </rv>
  <rv s="2">
    <v>23</v>
  </rv>
  <rv s="3">
    <v>https://www.bing.com/search?q=paris+france&amp;form=skydnc</v>
    <v>Learn more on Bing</v>
  </rv>
  <rv s="1">
    <fb>2.3508486999999998</fb>
    <v>13</v>
  </rv>
  <rv s="1">
    <fb>2244000</fb>
    <v>12</v>
  </rv>
  <rv s="7">
    <v>#VALUE!</v>
    <v>en-GB</v>
    <v>85584d24-2116-5b98-89f9-5714db931ac6</v>
    <v>536870912</v>
    <v>1</v>
    <v>101</v>
    <v>51</v>
    <v>Paris</v>
    <v>8</v>
    <v>9</v>
    <v>Map</v>
    <v>10</v>
    <v>102</v>
    <v>450</v>
    <v>451</v>
    <v>452</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453</v>
    <v>455</v>
    <v>456</v>
    <v>457</v>
    <v>Paris</v>
    <v>458</v>
    <v>216</v>
    <v>Paris</v>
    <v>mdp/vdpid/7012570570818584578</v>
  </rv>
  <rv s="1">
    <fb>0.524475441661716</fb>
    <v>38</v>
  </rv>
  <rv s="1">
    <fb>643801</fb>
    <v>12</v>
  </rv>
  <rv s="1">
    <fb>307000</fb>
    <v>12</v>
  </rv>
  <rv s="1">
    <fb>11.3</fb>
    <v>39</v>
  </rv>
  <rv s="1">
    <fb>33</fb>
    <v>40</v>
  </rv>
  <rv s="1">
    <fb>303275.56800000003</fb>
    <v>12</v>
  </rv>
  <rv s="1">
    <fb>110.04856675289</fb>
    <v>41</v>
  </rv>
  <rv s="1">
    <fb>1.1082549228829199E-2</fb>
    <v>38</v>
  </rv>
  <rv s="1">
    <fb>6939.5214736692897</fb>
    <v>12</v>
  </rv>
  <rv s="1">
    <fb>1.88</fb>
    <v>39</v>
  </rv>
  <rv s="1">
    <fb>0.31233278442262596</fb>
    <v>38</v>
  </rv>
  <rv s="1">
    <fb>46.487970872236403</fb>
    <v>42</v>
  </rv>
  <rv s="1">
    <fb>2715518274227.4502</fb>
    <v>44</v>
  </rv>
  <rv s="1">
    <fb>1.0251076000000001</fb>
    <v>38</v>
  </rv>
  <rv s="1">
    <fb>0.65629000000000004</fb>
    <v>38</v>
  </rv>
  <rv s="1">
    <fb>3.4</fb>
    <v>42</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24</v>
  </rv>
  <rv s="3">
    <v>https://www.bing.com/search?q=france&amp;form=skydnc</v>
    <v>Learn more on Bing</v>
  </rv>
  <rv s="1">
    <fb>82.526829268292701</fb>
    <v>42</v>
  </rv>
  <rv s="1">
    <fb>2365950236659.3599</fb>
    <v>44</v>
  </rv>
  <rv s="1">
    <fb>11.16</fb>
    <v>43</v>
  </rv>
  <rv s="2">
    <v>25</v>
  </rv>
  <rv s="1">
    <fb>6.7968269799999995E-2</fb>
    <v>38</v>
  </rv>
  <rv s="1">
    <fb>3.2671999999999999</fb>
    <v>39</v>
  </rv>
  <rv s="1">
    <fb>67059887</fb>
    <v>12</v>
  </rv>
  <rv s="1">
    <fb>0.21899999999999997</fb>
    <v>38</v>
  </rv>
  <rv s="1">
    <fb>0.25800000000000001</fb>
    <v>38</v>
  </rv>
  <rv s="1">
    <fb>0.4</fb>
    <v>38</v>
  </rv>
  <rv s="1">
    <fb>3.2000000000000001E-2</fb>
    <v>38</v>
  </rv>
  <rv s="1">
    <fb>8.1000000000000003E-2</fb>
    <v>38</v>
  </rv>
  <rv s="1">
    <fb>0.13</fb>
    <v>38</v>
  </rv>
  <rv s="1">
    <fb>0.16899999999999998</fb>
    <v>38</v>
  </rv>
  <rv s="1">
    <fb>0.55125999450683605</fb>
    <v>38</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26</v>
  </rv>
  <rv s="1">
    <fb>0.24229980509910898</fb>
    <v>38</v>
  </rv>
  <rv s="1">
    <fb>0.60699999999999998</fb>
    <v>38</v>
  </rv>
  <rv s="1">
    <fb>8.4270000457763714E-2</fb>
    <v>46</v>
  </rv>
  <rv s="1">
    <fb>54123364</fb>
    <v>12</v>
  </rv>
  <rv s="10">
    <v>#VALUE!</v>
    <v>en-GB</v>
    <v>c7bfe2de-4f82-e23c-ae42-8544b5b5c0ea</v>
    <v>536870912</v>
    <v>1</v>
    <v>109</v>
    <v>110</v>
    <v>France</v>
    <v>8</v>
    <v>9</v>
    <v>Map</v>
    <v>10</v>
    <v>111</v>
    <v>FR</v>
    <v>460</v>
    <v>461</v>
    <v>462</v>
    <v>463</v>
    <v>464</v>
    <v>449</v>
    <v>465</v>
    <v>466</v>
    <v>467</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468</v>
    <v>469</v>
    <v>470</v>
    <v>471</v>
    <v>403</v>
    <v>472</v>
    <v>473</v>
    <v>474</v>
    <v>475</v>
    <v>449</v>
    <v>482</v>
    <v>483</v>
    <v>484</v>
    <v>485</v>
    <v>339</v>
    <v>486</v>
    <v>France</v>
    <v>La Marseillaise</v>
    <v>487</v>
    <v>French Republic</v>
    <v>488</v>
    <v>489</v>
    <v>490</v>
    <v>491</v>
    <v>492</v>
    <v>493</v>
    <v>494</v>
    <v>495</v>
    <v>496</v>
    <v>497</v>
    <v>498</v>
    <v>612</v>
    <v>613</v>
    <v>444</v>
    <v>614</v>
    <v>615</v>
    <v>France</v>
    <v>616</v>
    <v>mdp/vdpid/84</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6">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spbArrays>
  <spbData count="112">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
      <v>0</v>
      <v>1</v>
      <v>0</v>
      <v>1</v>
      <v>0</v>
      <v>2</v>
      <v>3</v>
      <v>0</v>
    </spb>
    <spb s="2">
      <v>0</v>
      <v>Name</v>
      <v>LearnMoreOnLink</v>
    </spb>
    <spb s="3">
      <v>0</v>
      <v>0</v>
      <v>0</v>
    </spb>
    <spb s="4">
      <v>0</v>
      <v>0</v>
    </spb>
    <spb s="5">
      <v>6</v>
      <v>6</v>
      <v>7</v>
      <v>6</v>
    </spb>
    <spb s="6">
      <v>1</v>
      <v>2</v>
    </spb>
    <spb s="7">
      <v>https://www.bing.com</v>
      <v>https://www.bing.com/th?id=Ga%5Cbing_yt.png&amp;w=100&amp;h=40&amp;c=0&amp;pid=0.1</v>
      <v>Powered by Bing</v>
    </spb>
    <spb s="8">
      <v>square km</v>
      <v>2021</v>
    </spb>
    <spb s="9">
      <v>3</v>
    </spb>
    <spb s="9">
      <v>4</v>
    </spb>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17</v>
      <v>18</v>
      <v>19</v>
      <v>17</v>
      <v>20</v>
      <v>20</v>
      <v>21</v>
      <v>22</v>
      <v>20</v>
      <v>20</v>
      <v>16</v>
      <v>23</v>
      <v>15</v>
      <v>16</v>
      <v>24</v>
      <v>25</v>
      <v>16</v>
      <v>26</v>
      <v>27</v>
      <v>28</v>
      <v>16</v>
      <v>16</v>
      <v>22</v>
      <v>16</v>
      <v>29</v>
      <v>30</v>
      <v>31</v>
      <v>32</v>
      <v>16</v>
      <v>15</v>
      <v>16</v>
      <v>16</v>
      <v>16</v>
      <v>16</v>
      <v>16</v>
      <v>16</v>
      <v>16</v>
      <v>16</v>
      <v>16</v>
      <v>16</v>
      <v>33</v>
    </spb>
    <spb s="2">
      <v>1</v>
      <v>Name</v>
      <v>LearnMoreOnLink</v>
    </spb>
    <spb s="11">
      <v>1</v>
      <v>5</v>
      <v>2</v>
    </spb>
    <spb s="12">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9">
      <v>6</v>
    </spb>
    <spb s="9">
      <v>7</v>
    </spb>
    <spb s="9">
      <v>8</v>
    </spb>
    <spb s="9">
      <v>9</v>
    </spb>
    <spb s="9">
      <v>10</v>
    </spb>
    <spb s="9">
      <v>11</v>
    </spb>
    <spb s="9">
      <v>12</v>
    </spb>
    <spb s="0">
      <v xml:space="preserve">Wikipedia	</v>
      <v xml:space="preserve">Public domain	</v>
      <v xml:space="preserve">http://en.wikipedia.org/wiki/United_Kingdom	</v>
      <v xml:space="preserve">http://en.wikipedia.org/wiki/Public_domain	</v>
    </spb>
    <spb s="9">
      <v>13</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3">
      <v>47</v>
      <v>48</v>
      <v>47</v>
      <v>48</v>
      <v>47</v>
      <v>49</v>
      <v>47</v>
    </spb>
    <spb s="2">
      <v>2</v>
      <v>Name</v>
      <v>LearnMoreOnLink</v>
    </spb>
    <spb s="8">
      <v>square km</v>
      <v>2012</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0">
      <v>14</v>
      <v>53</v>
      <v>54</v>
      <v>55</v>
      <v>18</v>
      <v>19</v>
      <v>55</v>
      <v>56</v>
      <v>56</v>
      <v>57</v>
      <v>58</v>
      <v>56</v>
      <v>56</v>
      <v>54</v>
      <v>23</v>
      <v>53</v>
      <v>54</v>
      <v>24</v>
      <v>56</v>
      <v>54</v>
      <v>26</v>
      <v>27</v>
      <v>28</v>
      <v>54</v>
      <v>54</v>
      <v>58</v>
      <v>54</v>
      <v>29</v>
      <v>30</v>
      <v>31</v>
      <v>32</v>
      <v>54</v>
      <v>53</v>
      <v>54</v>
      <v>54</v>
      <v>54</v>
      <v>54</v>
      <v>54</v>
      <v>54</v>
      <v>54</v>
      <v>54</v>
      <v>54</v>
      <v>54</v>
      <v>33</v>
    </spb>
    <spb s="12">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3">
      <v>62</v>
      <v>63</v>
      <v>63</v>
      <v>63</v>
      <v>63</v>
      <v>64</v>
      <v>65</v>
    </spb>
    <spb s="2">
      <v>3</v>
      <v>Name</v>
      <v>LearnMoreOnLink</v>
    </spb>
    <spb s="14">
      <v>6</v>
      <v>6</v>
      <v>7</v>
      <v>6</v>
      <v>6</v>
    </spb>
    <spb s="0">
      <v xml:space="preserve">Wikipedia	</v>
      <v xml:space="preserve">CC-BY-SA-3.0	</v>
      <v xml:space="preserve">http://de.wikipedia.org/wiki/Lissabon	</v>
      <v xml:space="preserve">http://creativecommons.org/licenses/by-sa/3.0/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5">
      <v>14</v>
      <v>70</v>
      <v>71</v>
      <v>72</v>
      <v>18</v>
      <v>19</v>
      <v>72</v>
      <v>71</v>
      <v>71</v>
      <v>73</v>
      <v>74</v>
      <v>71</v>
      <v>71</v>
      <v>71</v>
      <v>75</v>
      <v>23</v>
      <v>70</v>
      <v>75</v>
      <v>24</v>
      <v>71</v>
      <v>75</v>
      <v>26</v>
      <v>27</v>
      <v>28</v>
      <v>75</v>
      <v>75</v>
      <v>74</v>
      <v>75</v>
      <v>29</v>
      <v>30</v>
      <v>31</v>
      <v>32</v>
      <v>75</v>
      <v>70</v>
      <v>75</v>
      <v>75</v>
      <v>75</v>
      <v>75</v>
      <v>75</v>
      <v>75</v>
      <v>75</v>
      <v>75</v>
      <v>75</v>
      <v>75</v>
      <v>33</v>
    </spb>
    <spb s="12">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6">
      <v>79</v>
      <v>80</v>
      <v>81</v>
      <v>79</v>
      <v>80</v>
      <v>79</v>
      <v>79</v>
      <v>81</v>
      <v>82</v>
      <v>81</v>
    </spb>
    <spb s="2">
      <v>4</v>
      <v>Name</v>
      <v>LearnMoreOnLink</v>
    </spb>
    <spb s="17">
      <v>square km</v>
      <v>2011</v>
      <v>2020</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5">
      <v>14</v>
      <v>86</v>
      <v>87</v>
      <v>88</v>
      <v>18</v>
      <v>19</v>
      <v>88</v>
      <v>89</v>
      <v>89</v>
      <v>87</v>
      <v>90</v>
      <v>89</v>
      <v>89</v>
      <v>91</v>
      <v>92</v>
      <v>23</v>
      <v>86</v>
      <v>92</v>
      <v>24</v>
      <v>89</v>
      <v>92</v>
      <v>26</v>
      <v>27</v>
      <v>28</v>
      <v>92</v>
      <v>92</v>
      <v>90</v>
      <v>92</v>
      <v>29</v>
      <v>30</v>
      <v>31</v>
      <v>32</v>
      <v>92</v>
      <v>86</v>
      <v>92</v>
      <v>92</v>
      <v>92</v>
      <v>92</v>
      <v>92</v>
      <v>92</v>
      <v>92</v>
      <v>92</v>
      <v>92</v>
      <v>92</v>
      <v>33</v>
    </spb>
    <spb s="12">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8">
      <v>96</v>
      <v>97</v>
      <v>97</v>
      <v>98</v>
      <v>99</v>
      <v>100</v>
    </spb>
    <spb s="8">
      <v>square km</v>
      <v>2015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19">
      <v>14</v>
      <v>103</v>
      <v>104</v>
      <v>105</v>
      <v>18</v>
      <v>19</v>
      <v>105</v>
      <v>106</v>
      <v>106</v>
      <v>104</v>
      <v>107</v>
      <v>106</v>
      <v>108</v>
      <v>23</v>
      <v>103</v>
      <v>108</v>
      <v>24</v>
      <v>106</v>
      <v>108</v>
      <v>26</v>
      <v>27</v>
      <v>28</v>
      <v>108</v>
      <v>108</v>
      <v>107</v>
      <v>108</v>
      <v>29</v>
      <v>30</v>
      <v>31</v>
      <v>32</v>
      <v>108</v>
      <v>103</v>
      <v>108</v>
      <v>108</v>
      <v>108</v>
      <v>108</v>
      <v>108</v>
      <v>108</v>
      <v>108</v>
      <v>108</v>
      <v>108</v>
      <v>108</v>
      <v>33</v>
    </spb>
    <spb s="2">
      <v>5</v>
      <v>Name</v>
      <v>LearnMoreOnLink</v>
    </spb>
    <spb s="12">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Area" t="spb"/>
    <k n="Nam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UniqueName" t="spb"/>
    <k n="VDPID/VSID" t="spb"/>
    <k n="Description"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1">
      <rpv i="2">#,##0</rpv>
    </rSty>
    <rSty dxfid="5">
      <rpv i="2">0.0000</rpv>
    </rSty>
    <rSty>
      <rpv i="3">1</rpv>
    </rSty>
    <rSty dxfid="0">
      <rpv i="2">0.0%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6">
  <autoFilter ref="B2:M256" xr:uid="{CD828420-2A6D-014A-88B1-2BABA3BA0542}"/>
  <tableColumns count="12">
    <tableColumn id="1" xr3:uid="{10C0F244-483F-4A49-B3E1-49B616F196C1}" name="Order ID" dataDxfId="5"/>
    <tableColumn id="2" xr3:uid="{B235E101-74E6-5142-B134-5985F87CF2C6}" name="Date" dataDxfId="4"/>
    <tableColumn id="3" xr3:uid="{088D2698-CC16-384A-AC92-4BBA913E871B}" name="Product"/>
    <tableColumn id="4" xr3:uid="{774386CA-C236-0B40-B729-491CD51B3277}" name="Price" dataDxfId="3"/>
    <tableColumn id="5" xr3:uid="{50AC1BB4-99E7-AC4F-A7F9-302247587674}" name="Quantity" dataDxfId="2"/>
    <tableColumn id="6" xr3:uid="{428F1872-246B-6B47-9CB3-7AC4B776FA81}" name="Cost" dataDxfId="1"/>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0">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A1:I263"/>
  <sheetViews>
    <sheetView workbookViewId="0">
      <pane ySplit="1" topLeftCell="A235" activePane="bottomLeft" state="frozen"/>
      <selection pane="bottomLeft" sqref="A1:I263"/>
    </sheetView>
  </sheetViews>
  <sheetFormatPr defaultColWidth="10.59765625" defaultRowHeight="15.6" x14ac:dyDescent="0.3"/>
  <cols>
    <col min="3" max="3" width="17.796875" bestFit="1" customWidth="1"/>
    <col min="6" max="6" width="13" bestFit="1" customWidth="1"/>
    <col min="7" max="7" width="15.296875" bestFit="1" customWidth="1"/>
    <col min="8" max="8" width="15.09765625" bestFit="1" customWidth="1"/>
  </cols>
  <sheetData>
    <row r="1" spans="1:9" x14ac:dyDescent="0.3">
      <c r="A1" s="1" t="s">
        <v>0</v>
      </c>
      <c r="B1" s="1" t="s">
        <v>1</v>
      </c>
      <c r="C1" s="1" t="s">
        <v>2</v>
      </c>
      <c r="D1" s="2" t="s">
        <v>3</v>
      </c>
      <c r="E1" s="1" t="s">
        <v>4</v>
      </c>
      <c r="F1" s="1" t="s">
        <v>5</v>
      </c>
      <c r="G1" s="1" t="s">
        <v>6</v>
      </c>
      <c r="H1" s="1" t="s">
        <v>7</v>
      </c>
      <c r="I1" s="1" t="s">
        <v>8</v>
      </c>
    </row>
    <row r="2" spans="1:9" x14ac:dyDescent="0.3">
      <c r="A2" s="3">
        <v>10452</v>
      </c>
      <c r="B2" s="4">
        <v>44872</v>
      </c>
      <c r="C2" t="s">
        <v>9</v>
      </c>
      <c r="D2" s="3">
        <v>3.49</v>
      </c>
      <c r="E2" s="5">
        <v>573.06590257879645</v>
      </c>
      <c r="F2" s="3" t="s">
        <v>10</v>
      </c>
      <c r="G2" s="3" t="s">
        <v>11</v>
      </c>
      <c r="H2" t="s">
        <v>12</v>
      </c>
      <c r="I2" t="s">
        <v>13</v>
      </c>
    </row>
    <row r="3" spans="1:9" x14ac:dyDescent="0.3">
      <c r="A3" s="3">
        <v>10453</v>
      </c>
      <c r="B3" s="4">
        <v>44872</v>
      </c>
      <c r="C3" t="s">
        <v>14</v>
      </c>
      <c r="D3" s="3">
        <v>2.95</v>
      </c>
      <c r="E3" s="5">
        <v>745.7627118644067</v>
      </c>
      <c r="F3" s="3" t="s">
        <v>10</v>
      </c>
      <c r="G3" s="3" t="s">
        <v>11</v>
      </c>
      <c r="H3" t="s">
        <v>15</v>
      </c>
      <c r="I3" t="s">
        <v>16</v>
      </c>
    </row>
    <row r="4" spans="1:9" x14ac:dyDescent="0.3">
      <c r="A4" s="3">
        <v>10454</v>
      </c>
      <c r="B4" s="4">
        <v>44872</v>
      </c>
      <c r="C4" t="s">
        <v>17</v>
      </c>
      <c r="D4" s="3">
        <v>4.99</v>
      </c>
      <c r="E4" s="5">
        <v>200.40080160320639</v>
      </c>
      <c r="F4" s="3" t="s">
        <v>18</v>
      </c>
      <c r="G4" s="3" t="s">
        <v>11</v>
      </c>
      <c r="H4" t="s">
        <v>19</v>
      </c>
      <c r="I4" t="s">
        <v>20</v>
      </c>
    </row>
    <row r="5" spans="1:9" x14ac:dyDescent="0.3">
      <c r="A5" s="3">
        <v>10455</v>
      </c>
      <c r="B5" s="4">
        <v>44873</v>
      </c>
      <c r="C5" t="s">
        <v>21</v>
      </c>
      <c r="D5" s="3">
        <v>12.99</v>
      </c>
      <c r="E5" s="5">
        <v>569.66897613548883</v>
      </c>
      <c r="F5" s="3" t="s">
        <v>18</v>
      </c>
      <c r="G5" s="3" t="s">
        <v>22</v>
      </c>
      <c r="H5" t="s">
        <v>23</v>
      </c>
      <c r="I5" t="s">
        <v>24</v>
      </c>
    </row>
    <row r="6" spans="1:9" x14ac:dyDescent="0.3">
      <c r="A6" s="3">
        <v>10456</v>
      </c>
      <c r="B6" s="4">
        <v>44873</v>
      </c>
      <c r="C6" t="s">
        <v>25</v>
      </c>
      <c r="D6" s="3">
        <v>9.9499999999999993</v>
      </c>
      <c r="E6" s="5">
        <v>201.00502512562818</v>
      </c>
      <c r="F6" s="3" t="s">
        <v>18</v>
      </c>
      <c r="G6" s="3" t="s">
        <v>22</v>
      </c>
      <c r="H6" t="s">
        <v>23</v>
      </c>
      <c r="I6" t="s">
        <v>24</v>
      </c>
    </row>
    <row r="7" spans="1:9" x14ac:dyDescent="0.3">
      <c r="A7" s="3">
        <v>10457</v>
      </c>
      <c r="B7" s="4">
        <v>44873</v>
      </c>
      <c r="C7" t="s">
        <v>9</v>
      </c>
      <c r="D7" s="3">
        <v>3.49</v>
      </c>
      <c r="E7" s="5">
        <v>573.06590257879645</v>
      </c>
      <c r="F7" s="3" t="s">
        <v>18</v>
      </c>
      <c r="G7" s="3" t="s">
        <v>22</v>
      </c>
      <c r="H7" t="s">
        <v>26</v>
      </c>
      <c r="I7" t="s">
        <v>27</v>
      </c>
    </row>
    <row r="8" spans="1:9" x14ac:dyDescent="0.3">
      <c r="A8" s="3">
        <v>10457</v>
      </c>
      <c r="B8" s="4">
        <v>44873</v>
      </c>
      <c r="C8" t="s">
        <v>9</v>
      </c>
      <c r="D8" s="3">
        <v>3.49</v>
      </c>
      <c r="E8" s="5">
        <v>573.06590257879645</v>
      </c>
      <c r="F8" s="3" t="s">
        <v>18</v>
      </c>
      <c r="G8" s="3" t="s">
        <v>22</v>
      </c>
      <c r="H8" t="s">
        <v>26</v>
      </c>
      <c r="I8" t="s">
        <v>27</v>
      </c>
    </row>
    <row r="9" spans="1:9" x14ac:dyDescent="0.3">
      <c r="A9" s="3">
        <v>10459</v>
      </c>
      <c r="B9" s="4">
        <v>44873</v>
      </c>
      <c r="C9" t="s">
        <v>17</v>
      </c>
      <c r="D9" s="3">
        <v>4.99</v>
      </c>
      <c r="E9" s="5">
        <v>200.40080160320639</v>
      </c>
      <c r="F9" s="3" t="s">
        <v>18</v>
      </c>
      <c r="G9" s="3" t="s">
        <v>22</v>
      </c>
      <c r="H9" t="s">
        <v>23</v>
      </c>
      <c r="I9" t="s">
        <v>24</v>
      </c>
    </row>
    <row r="10" spans="1:9" x14ac:dyDescent="0.3">
      <c r="A10" s="3">
        <v>10460</v>
      </c>
      <c r="B10" s="4">
        <v>44874</v>
      </c>
      <c r="C10" t="s">
        <v>21</v>
      </c>
      <c r="D10" s="3">
        <v>12.99</v>
      </c>
      <c r="E10" s="5">
        <v>554.27251732101615</v>
      </c>
      <c r="F10" s="3" t="s">
        <v>18</v>
      </c>
      <c r="G10" s="3" t="s">
        <v>22</v>
      </c>
      <c r="H10" t="s">
        <v>28</v>
      </c>
      <c r="I10" t="s">
        <v>27</v>
      </c>
    </row>
    <row r="11" spans="1:9" x14ac:dyDescent="0.3">
      <c r="A11" s="3">
        <v>10461</v>
      </c>
      <c r="B11" s="4">
        <v>44874</v>
      </c>
      <c r="C11" t="s">
        <v>25</v>
      </c>
      <c r="D11" s="3">
        <v>9.9499999999999993</v>
      </c>
      <c r="E11" s="5">
        <v>201.00502512562818</v>
      </c>
      <c r="F11" s="3" t="s">
        <v>18</v>
      </c>
      <c r="G11" s="3" t="s">
        <v>22</v>
      </c>
      <c r="H11" t="s">
        <v>28</v>
      </c>
      <c r="I11" t="s">
        <v>27</v>
      </c>
    </row>
    <row r="12" spans="1:9" x14ac:dyDescent="0.3">
      <c r="A12" s="3">
        <v>10462</v>
      </c>
      <c r="B12" s="4">
        <v>44874</v>
      </c>
      <c r="C12" t="s">
        <v>9</v>
      </c>
      <c r="D12" s="3">
        <v>3.49</v>
      </c>
      <c r="E12" s="5">
        <v>573.06590257879645</v>
      </c>
      <c r="F12" s="3" t="s">
        <v>18</v>
      </c>
      <c r="G12" s="3" t="s">
        <v>22</v>
      </c>
      <c r="H12" t="s">
        <v>29</v>
      </c>
      <c r="I12" t="s">
        <v>27</v>
      </c>
    </row>
    <row r="13" spans="1:9" x14ac:dyDescent="0.3">
      <c r="A13" s="3">
        <v>10463</v>
      </c>
      <c r="B13" s="4">
        <v>44874</v>
      </c>
      <c r="C13" t="s">
        <v>14</v>
      </c>
      <c r="D13" s="3">
        <v>2.95</v>
      </c>
      <c r="E13" s="5">
        <v>677.96610169491521</v>
      </c>
      <c r="F13" s="3" t="s">
        <v>18</v>
      </c>
      <c r="G13" s="3" t="s">
        <v>22</v>
      </c>
      <c r="H13" t="s">
        <v>29</v>
      </c>
      <c r="I13" t="s">
        <v>27</v>
      </c>
    </row>
    <row r="14" spans="1:9" x14ac:dyDescent="0.3">
      <c r="A14" s="3">
        <v>10464</v>
      </c>
      <c r="B14" s="4">
        <v>44874</v>
      </c>
      <c r="C14" t="s">
        <v>17</v>
      </c>
      <c r="D14" s="3">
        <v>4.99</v>
      </c>
      <c r="E14" s="5">
        <v>200.40080160320639</v>
      </c>
      <c r="F14" s="3" t="s">
        <v>18</v>
      </c>
      <c r="G14" s="3" t="s">
        <v>22</v>
      </c>
      <c r="H14" t="s">
        <v>30</v>
      </c>
      <c r="I14" t="s">
        <v>27</v>
      </c>
    </row>
    <row r="15" spans="1:9" x14ac:dyDescent="0.3">
      <c r="A15" s="3">
        <v>10465</v>
      </c>
      <c r="B15" s="4">
        <v>44875</v>
      </c>
      <c r="C15" t="s">
        <v>21</v>
      </c>
      <c r="D15" s="3">
        <v>12.99</v>
      </c>
      <c r="E15" s="5">
        <v>554.27251732101615</v>
      </c>
      <c r="F15" s="3" t="s">
        <v>18</v>
      </c>
      <c r="G15" s="3" t="s">
        <v>22</v>
      </c>
      <c r="H15" t="s">
        <v>31</v>
      </c>
      <c r="I15" t="s">
        <v>16</v>
      </c>
    </row>
    <row r="16" spans="1:9" x14ac:dyDescent="0.3">
      <c r="A16" s="3">
        <v>10466</v>
      </c>
      <c r="B16" s="4">
        <v>44875</v>
      </c>
      <c r="C16" t="s">
        <v>25</v>
      </c>
      <c r="D16" s="3">
        <v>9.9499999999999993</v>
      </c>
      <c r="E16" s="5">
        <v>201.00502512562818</v>
      </c>
      <c r="F16" s="3" t="s">
        <v>18</v>
      </c>
      <c r="G16" s="3" t="s">
        <v>22</v>
      </c>
      <c r="H16" t="s">
        <v>31</v>
      </c>
      <c r="I16" t="s">
        <v>16</v>
      </c>
    </row>
    <row r="17" spans="1:9" x14ac:dyDescent="0.3">
      <c r="A17" s="3">
        <v>10467</v>
      </c>
      <c r="B17" s="4">
        <v>44875</v>
      </c>
      <c r="C17" t="s">
        <v>9</v>
      </c>
      <c r="D17" s="3">
        <v>3.49</v>
      </c>
      <c r="E17" s="5">
        <v>573.06590257879645</v>
      </c>
      <c r="F17" s="3" t="s">
        <v>18</v>
      </c>
      <c r="G17" s="3" t="s">
        <v>22</v>
      </c>
      <c r="H17" t="s">
        <v>31</v>
      </c>
      <c r="I17" t="s">
        <v>16</v>
      </c>
    </row>
    <row r="18" spans="1:9" x14ac:dyDescent="0.3">
      <c r="A18" s="3">
        <v>10468</v>
      </c>
      <c r="B18" s="4">
        <v>44875</v>
      </c>
      <c r="C18" t="s">
        <v>14</v>
      </c>
      <c r="D18" s="3">
        <v>2.95</v>
      </c>
      <c r="E18" s="5">
        <v>677.96610169491521</v>
      </c>
      <c r="F18" s="3" t="s">
        <v>18</v>
      </c>
      <c r="G18" s="3" t="s">
        <v>22</v>
      </c>
      <c r="H18" t="s">
        <v>15</v>
      </c>
      <c r="I18" t="s">
        <v>16</v>
      </c>
    </row>
    <row r="19" spans="1:9" x14ac:dyDescent="0.3">
      <c r="A19" s="3">
        <v>10468</v>
      </c>
      <c r="B19" s="4">
        <v>44875</v>
      </c>
      <c r="C19" t="s">
        <v>14</v>
      </c>
      <c r="D19" s="3">
        <v>2.95</v>
      </c>
      <c r="E19" s="5">
        <v>677.96610169491521</v>
      </c>
      <c r="F19" s="3" t="s">
        <v>18</v>
      </c>
      <c r="G19" s="3" t="s">
        <v>22</v>
      </c>
      <c r="H19" t="s">
        <v>15</v>
      </c>
      <c r="I19" t="s">
        <v>16</v>
      </c>
    </row>
    <row r="20" spans="1:9" x14ac:dyDescent="0.3">
      <c r="A20" s="3">
        <v>10470</v>
      </c>
      <c r="B20" s="4">
        <v>44876</v>
      </c>
      <c r="C20" t="s">
        <v>21</v>
      </c>
      <c r="D20" s="3">
        <v>12.99</v>
      </c>
      <c r="E20" s="5">
        <v>554.27251732101615</v>
      </c>
      <c r="F20" s="3" t="s">
        <v>18</v>
      </c>
      <c r="G20" s="3" t="s">
        <v>22</v>
      </c>
      <c r="H20" t="s">
        <v>15</v>
      </c>
      <c r="I20" t="s">
        <v>16</v>
      </c>
    </row>
    <row r="21" spans="1:9" x14ac:dyDescent="0.3">
      <c r="A21" s="3">
        <v>10471</v>
      </c>
      <c r="B21" s="4">
        <v>44876</v>
      </c>
      <c r="C21" t="s">
        <v>25</v>
      </c>
      <c r="D21" s="3">
        <v>9.9499999999999993</v>
      </c>
      <c r="E21" s="5">
        <v>201.00502512562818</v>
      </c>
      <c r="F21" s="3" t="s">
        <v>18</v>
      </c>
      <c r="G21" s="3" t="s">
        <v>22</v>
      </c>
      <c r="H21" t="s">
        <v>15</v>
      </c>
      <c r="I21" t="s">
        <v>16</v>
      </c>
    </row>
    <row r="22" spans="1:9" x14ac:dyDescent="0.3">
      <c r="A22" s="3">
        <v>10472</v>
      </c>
      <c r="B22" s="4">
        <v>44876</v>
      </c>
      <c r="C22" t="s">
        <v>9</v>
      </c>
      <c r="D22" s="3">
        <v>3.49</v>
      </c>
      <c r="E22" s="5">
        <v>630.3724928366762</v>
      </c>
      <c r="F22" s="3" t="s">
        <v>18</v>
      </c>
      <c r="G22" s="3" t="s">
        <v>22</v>
      </c>
      <c r="H22" t="s">
        <v>32</v>
      </c>
      <c r="I22" t="s">
        <v>16</v>
      </c>
    </row>
    <row r="23" spans="1:9" x14ac:dyDescent="0.3">
      <c r="A23" s="3">
        <v>10473</v>
      </c>
      <c r="B23" s="4">
        <v>44876</v>
      </c>
      <c r="C23" t="s">
        <v>14</v>
      </c>
      <c r="D23" s="3">
        <v>2.95</v>
      </c>
      <c r="E23" s="5">
        <v>677.96610169491521</v>
      </c>
      <c r="F23" s="3" t="s">
        <v>18</v>
      </c>
      <c r="G23" s="3" t="s">
        <v>22</v>
      </c>
      <c r="H23" t="s">
        <v>15</v>
      </c>
      <c r="I23" t="s">
        <v>16</v>
      </c>
    </row>
    <row r="24" spans="1:9" x14ac:dyDescent="0.3">
      <c r="A24" s="3">
        <v>10474</v>
      </c>
      <c r="B24" s="4">
        <v>44876</v>
      </c>
      <c r="C24" t="s">
        <v>17</v>
      </c>
      <c r="D24" s="3">
        <v>4.99</v>
      </c>
      <c r="E24" s="5">
        <v>200.40080160320639</v>
      </c>
      <c r="F24" s="3" t="s">
        <v>18</v>
      </c>
      <c r="G24" s="3" t="s">
        <v>22</v>
      </c>
      <c r="H24" t="s">
        <v>15</v>
      </c>
      <c r="I24" t="s">
        <v>16</v>
      </c>
    </row>
    <row r="25" spans="1:9" x14ac:dyDescent="0.3">
      <c r="A25" s="3">
        <v>10475</v>
      </c>
      <c r="B25" s="4">
        <v>44877</v>
      </c>
      <c r="C25" t="s">
        <v>21</v>
      </c>
      <c r="D25" s="3">
        <v>12.99</v>
      </c>
      <c r="E25" s="5">
        <v>523.47959969207079</v>
      </c>
      <c r="F25" s="3" t="s">
        <v>18</v>
      </c>
      <c r="G25" s="3" t="s">
        <v>22</v>
      </c>
      <c r="H25" t="s">
        <v>15</v>
      </c>
      <c r="I25" t="s">
        <v>16</v>
      </c>
    </row>
    <row r="26" spans="1:9" x14ac:dyDescent="0.3">
      <c r="A26" s="3">
        <v>10476</v>
      </c>
      <c r="B26" s="4">
        <v>44877</v>
      </c>
      <c r="C26" t="s">
        <v>25</v>
      </c>
      <c r="D26" s="3">
        <v>9.9499999999999993</v>
      </c>
      <c r="E26" s="5">
        <v>201.00502512562818</v>
      </c>
      <c r="F26" s="3" t="s">
        <v>18</v>
      </c>
      <c r="G26" s="3" t="s">
        <v>22</v>
      </c>
      <c r="H26" t="s">
        <v>31</v>
      </c>
      <c r="I26" t="s">
        <v>16</v>
      </c>
    </row>
    <row r="27" spans="1:9" x14ac:dyDescent="0.3">
      <c r="A27" s="3">
        <v>10477</v>
      </c>
      <c r="B27" s="4">
        <v>44877</v>
      </c>
      <c r="C27" t="s">
        <v>9</v>
      </c>
      <c r="D27" s="3">
        <v>3.49</v>
      </c>
      <c r="E27" s="5">
        <v>630.3724928366762</v>
      </c>
      <c r="F27" s="3" t="s">
        <v>18</v>
      </c>
      <c r="G27" s="3" t="s">
        <v>22</v>
      </c>
      <c r="H27" t="s">
        <v>33</v>
      </c>
      <c r="I27" t="s">
        <v>16</v>
      </c>
    </row>
    <row r="28" spans="1:9" x14ac:dyDescent="0.3">
      <c r="A28" s="3">
        <v>10478</v>
      </c>
      <c r="B28" s="4">
        <v>44877</v>
      </c>
      <c r="C28" t="s">
        <v>14</v>
      </c>
      <c r="D28" s="3">
        <v>2.95</v>
      </c>
      <c r="E28" s="5">
        <v>677.96610169491521</v>
      </c>
      <c r="F28" s="3" t="s">
        <v>18</v>
      </c>
      <c r="G28" s="3" t="s">
        <v>22</v>
      </c>
      <c r="H28" t="s">
        <v>31</v>
      </c>
      <c r="I28" t="s">
        <v>16</v>
      </c>
    </row>
    <row r="29" spans="1:9" x14ac:dyDescent="0.3">
      <c r="A29" s="3">
        <v>10479</v>
      </c>
      <c r="B29" s="4">
        <v>44877</v>
      </c>
      <c r="C29" t="s">
        <v>17</v>
      </c>
      <c r="D29" s="3">
        <v>4.99</v>
      </c>
      <c r="E29" s="5">
        <v>200.40080160320639</v>
      </c>
      <c r="F29" s="3" t="s">
        <v>18</v>
      </c>
      <c r="G29" s="3" t="s">
        <v>22</v>
      </c>
      <c r="H29" t="s">
        <v>34</v>
      </c>
      <c r="I29" t="s">
        <v>16</v>
      </c>
    </row>
    <row r="30" spans="1:9" x14ac:dyDescent="0.3">
      <c r="A30" s="3">
        <v>10480</v>
      </c>
      <c r="B30" s="4">
        <v>44878</v>
      </c>
      <c r="C30" t="s">
        <v>21</v>
      </c>
      <c r="D30" s="3">
        <v>12.99</v>
      </c>
      <c r="E30" s="5">
        <v>508.08314087759817</v>
      </c>
      <c r="F30" s="3" t="s">
        <v>18</v>
      </c>
      <c r="G30" s="3" t="s">
        <v>22</v>
      </c>
      <c r="H30" t="s">
        <v>31</v>
      </c>
      <c r="I30" t="s">
        <v>16</v>
      </c>
    </row>
    <row r="31" spans="1:9" x14ac:dyDescent="0.3">
      <c r="A31" s="3">
        <v>10481</v>
      </c>
      <c r="B31" s="4">
        <v>44878</v>
      </c>
      <c r="C31" t="s">
        <v>25</v>
      </c>
      <c r="D31" s="3">
        <v>9.9499999999999993</v>
      </c>
      <c r="E31" s="5">
        <v>201.00502512562818</v>
      </c>
      <c r="F31" s="3" t="s">
        <v>18</v>
      </c>
      <c r="G31" s="3" t="s">
        <v>22</v>
      </c>
      <c r="H31" t="s">
        <v>31</v>
      </c>
      <c r="I31" t="s">
        <v>16</v>
      </c>
    </row>
    <row r="32" spans="1:9" x14ac:dyDescent="0.3">
      <c r="A32" s="3">
        <v>10482</v>
      </c>
      <c r="B32" s="4">
        <v>44878</v>
      </c>
      <c r="C32" t="s">
        <v>9</v>
      </c>
      <c r="D32" s="3">
        <v>25.5</v>
      </c>
      <c r="E32" s="5">
        <v>630.3724928366762</v>
      </c>
      <c r="F32" s="3" t="s">
        <v>18</v>
      </c>
      <c r="G32" s="3" t="s">
        <v>22</v>
      </c>
      <c r="H32" t="s">
        <v>35</v>
      </c>
      <c r="I32" t="s">
        <v>20</v>
      </c>
    </row>
    <row r="33" spans="1:9" x14ac:dyDescent="0.3">
      <c r="A33" s="3">
        <v>10483</v>
      </c>
      <c r="B33" s="4">
        <v>44878</v>
      </c>
      <c r="C33" t="s">
        <v>14</v>
      </c>
      <c r="D33" s="3">
        <v>33.22</v>
      </c>
      <c r="E33" s="5">
        <v>677.96610169491521</v>
      </c>
      <c r="F33" s="3" t="s">
        <v>18</v>
      </c>
      <c r="G33" s="3" t="s">
        <v>22</v>
      </c>
      <c r="H33" t="s">
        <v>19</v>
      </c>
      <c r="I33" t="s">
        <v>20</v>
      </c>
    </row>
    <row r="34" spans="1:9" x14ac:dyDescent="0.3">
      <c r="A34" s="3">
        <v>10484</v>
      </c>
      <c r="B34" s="4">
        <v>44878</v>
      </c>
      <c r="C34" t="s">
        <v>17</v>
      </c>
      <c r="D34" s="3">
        <v>21.44</v>
      </c>
      <c r="E34" s="5">
        <v>200.40080160320639</v>
      </c>
      <c r="F34" s="3" t="s">
        <v>18</v>
      </c>
      <c r="G34" s="3" t="s">
        <v>22</v>
      </c>
      <c r="H34" t="s">
        <v>19</v>
      </c>
      <c r="I34" t="s">
        <v>20</v>
      </c>
    </row>
    <row r="35" spans="1:9" x14ac:dyDescent="0.3">
      <c r="A35" s="3">
        <v>10485</v>
      </c>
      <c r="B35" s="4">
        <v>44879</v>
      </c>
      <c r="C35" t="s">
        <v>21</v>
      </c>
      <c r="D35" s="3">
        <v>27.99</v>
      </c>
      <c r="E35" s="5">
        <v>523.47959969207079</v>
      </c>
      <c r="F35" s="3" t="s">
        <v>18</v>
      </c>
      <c r="G35" s="3" t="s">
        <v>22</v>
      </c>
      <c r="H35" t="s">
        <v>19</v>
      </c>
      <c r="I35" t="s">
        <v>20</v>
      </c>
    </row>
    <row r="36" spans="1:9" x14ac:dyDescent="0.3">
      <c r="A36" s="3">
        <v>10486</v>
      </c>
      <c r="B36" s="4">
        <v>44879</v>
      </c>
      <c r="C36" t="s">
        <v>25</v>
      </c>
      <c r="D36" s="3">
        <v>29.05</v>
      </c>
      <c r="E36" s="5">
        <v>201.00502512562818</v>
      </c>
      <c r="F36" s="3" t="s">
        <v>18</v>
      </c>
      <c r="G36" s="3" t="s">
        <v>22</v>
      </c>
      <c r="H36" t="s">
        <v>19</v>
      </c>
      <c r="I36" t="s">
        <v>20</v>
      </c>
    </row>
    <row r="37" spans="1:9" x14ac:dyDescent="0.3">
      <c r="A37" s="3">
        <v>10487</v>
      </c>
      <c r="B37" s="4">
        <v>44879</v>
      </c>
      <c r="C37" t="s">
        <v>9</v>
      </c>
      <c r="D37" s="3">
        <v>3.49</v>
      </c>
      <c r="E37" s="5">
        <v>630.3724928366762</v>
      </c>
      <c r="F37" s="3" t="s">
        <v>18</v>
      </c>
      <c r="G37" s="3" t="s">
        <v>22</v>
      </c>
      <c r="H37" t="s">
        <v>35</v>
      </c>
      <c r="I37" t="s">
        <v>20</v>
      </c>
    </row>
    <row r="38" spans="1:9" x14ac:dyDescent="0.3">
      <c r="A38" s="3">
        <v>10488</v>
      </c>
      <c r="B38" s="4">
        <v>44879</v>
      </c>
      <c r="C38" t="s">
        <v>14</v>
      </c>
      <c r="D38" s="3">
        <v>2.95</v>
      </c>
      <c r="E38" s="5">
        <v>677.96610169491521</v>
      </c>
      <c r="F38" s="3" t="s">
        <v>18</v>
      </c>
      <c r="G38" s="3" t="s">
        <v>22</v>
      </c>
      <c r="H38" t="s">
        <v>35</v>
      </c>
      <c r="I38" t="s">
        <v>20</v>
      </c>
    </row>
    <row r="39" spans="1:9" x14ac:dyDescent="0.3">
      <c r="A39" s="3">
        <v>10489</v>
      </c>
      <c r="B39" s="4">
        <v>44879</v>
      </c>
      <c r="C39" t="s">
        <v>17</v>
      </c>
      <c r="D39" s="3">
        <v>4.99</v>
      </c>
      <c r="E39" s="5">
        <v>200.40080160320639</v>
      </c>
      <c r="F39" s="3" t="s">
        <v>18</v>
      </c>
      <c r="G39" s="3" t="s">
        <v>22</v>
      </c>
      <c r="H39" t="s">
        <v>31</v>
      </c>
      <c r="I39" t="s">
        <v>16</v>
      </c>
    </row>
    <row r="40" spans="1:9" x14ac:dyDescent="0.3">
      <c r="A40" s="3">
        <v>10490</v>
      </c>
      <c r="B40" s="4">
        <v>44880</v>
      </c>
      <c r="C40" t="s">
        <v>21</v>
      </c>
      <c r="D40" s="3">
        <v>12.99</v>
      </c>
      <c r="E40" s="5">
        <v>508.08314087759817</v>
      </c>
      <c r="F40" s="3" t="s">
        <v>18</v>
      </c>
      <c r="G40" s="3" t="s">
        <v>22</v>
      </c>
      <c r="H40" t="s">
        <v>31</v>
      </c>
      <c r="I40" t="s">
        <v>16</v>
      </c>
    </row>
    <row r="41" spans="1:9" x14ac:dyDescent="0.3">
      <c r="A41" s="3">
        <v>10491</v>
      </c>
      <c r="B41" s="4">
        <v>44880</v>
      </c>
      <c r="C41" t="s">
        <v>25</v>
      </c>
      <c r="D41" s="3">
        <v>9.9499999999999993</v>
      </c>
      <c r="E41" s="5">
        <v>201.00502512562818</v>
      </c>
      <c r="F41" s="3" t="s">
        <v>18</v>
      </c>
      <c r="G41" s="3" t="s">
        <v>22</v>
      </c>
      <c r="H41" t="s">
        <v>31</v>
      </c>
      <c r="I41" t="s">
        <v>16</v>
      </c>
    </row>
    <row r="42" spans="1:9" x14ac:dyDescent="0.3">
      <c r="A42" s="3">
        <v>10492</v>
      </c>
      <c r="B42" s="4">
        <v>44880</v>
      </c>
      <c r="C42" t="s">
        <v>9</v>
      </c>
      <c r="D42" s="3">
        <v>3.49</v>
      </c>
      <c r="E42" s="5">
        <v>573.06590257879645</v>
      </c>
      <c r="F42" s="3" t="s">
        <v>18</v>
      </c>
      <c r="G42" s="3" t="s">
        <v>22</v>
      </c>
      <c r="H42" t="s">
        <v>31</v>
      </c>
      <c r="I42" t="s">
        <v>16</v>
      </c>
    </row>
    <row r="43" spans="1:9" x14ac:dyDescent="0.3">
      <c r="A43" s="3">
        <v>10493</v>
      </c>
      <c r="B43" s="4">
        <v>44880</v>
      </c>
      <c r="C43" t="s">
        <v>14</v>
      </c>
      <c r="D43" s="3">
        <v>2.95</v>
      </c>
      <c r="E43" s="5">
        <v>677.96610169491521</v>
      </c>
      <c r="F43" s="3" t="s">
        <v>18</v>
      </c>
      <c r="G43" s="3" t="s">
        <v>22</v>
      </c>
      <c r="H43" t="s">
        <v>31</v>
      </c>
      <c r="I43" t="s">
        <v>16</v>
      </c>
    </row>
    <row r="44" spans="1:9" x14ac:dyDescent="0.3">
      <c r="A44" s="3">
        <v>10494</v>
      </c>
      <c r="B44" s="4">
        <v>44880</v>
      </c>
      <c r="C44" t="s">
        <v>17</v>
      </c>
      <c r="D44" s="3">
        <v>4.99</v>
      </c>
      <c r="E44" s="5">
        <v>200.40080160320639</v>
      </c>
      <c r="F44" s="3" t="s">
        <v>18</v>
      </c>
      <c r="G44" s="3" t="s">
        <v>22</v>
      </c>
      <c r="H44" t="s">
        <v>31</v>
      </c>
      <c r="I44" t="s">
        <v>16</v>
      </c>
    </row>
    <row r="45" spans="1:9" x14ac:dyDescent="0.3">
      <c r="A45" s="3">
        <v>10495</v>
      </c>
      <c r="B45" s="4">
        <v>44881</v>
      </c>
      <c r="C45" t="s">
        <v>21</v>
      </c>
      <c r="D45" s="3">
        <v>12.99</v>
      </c>
      <c r="E45" s="5">
        <v>508.08314087759817</v>
      </c>
      <c r="F45" s="3" t="s">
        <v>18</v>
      </c>
      <c r="G45" s="3" t="s">
        <v>22</v>
      </c>
      <c r="H45" t="s">
        <v>31</v>
      </c>
      <c r="I45" t="s">
        <v>16</v>
      </c>
    </row>
    <row r="46" spans="1:9" x14ac:dyDescent="0.3">
      <c r="A46" s="3">
        <v>10496</v>
      </c>
      <c r="B46" s="4">
        <v>44881</v>
      </c>
      <c r="C46" t="s">
        <v>25</v>
      </c>
      <c r="D46" s="3">
        <v>9.9499999999999993</v>
      </c>
      <c r="E46" s="5">
        <v>201.00502512562818</v>
      </c>
      <c r="F46" s="3" t="s">
        <v>18</v>
      </c>
      <c r="G46" s="3" t="s">
        <v>22</v>
      </c>
      <c r="H46" t="s">
        <v>31</v>
      </c>
      <c r="I46" t="s">
        <v>16</v>
      </c>
    </row>
    <row r="47" spans="1:9" x14ac:dyDescent="0.3">
      <c r="A47" s="3">
        <v>10497</v>
      </c>
      <c r="B47" s="4">
        <v>44881</v>
      </c>
      <c r="C47" t="s">
        <v>9</v>
      </c>
      <c r="D47" s="3">
        <v>3.49</v>
      </c>
      <c r="E47" s="5">
        <v>573.06590257879645</v>
      </c>
      <c r="F47" s="3" t="s">
        <v>18</v>
      </c>
      <c r="G47" s="3" t="s">
        <v>22</v>
      </c>
      <c r="H47" t="s">
        <v>31</v>
      </c>
      <c r="I47" t="s">
        <v>16</v>
      </c>
    </row>
    <row r="48" spans="1:9" x14ac:dyDescent="0.3">
      <c r="A48" s="3">
        <v>10498</v>
      </c>
      <c r="B48" s="4">
        <v>44881</v>
      </c>
      <c r="C48" t="s">
        <v>14</v>
      </c>
      <c r="D48" s="3">
        <v>2.95</v>
      </c>
      <c r="E48" s="5">
        <v>677.96610169491521</v>
      </c>
      <c r="F48" s="3" t="s">
        <v>36</v>
      </c>
      <c r="G48" s="3" t="s">
        <v>22</v>
      </c>
      <c r="H48" t="s">
        <v>31</v>
      </c>
      <c r="I48" t="s">
        <v>16</v>
      </c>
    </row>
    <row r="49" spans="1:9" x14ac:dyDescent="0.3">
      <c r="A49" s="3">
        <v>10499</v>
      </c>
      <c r="B49" s="4">
        <v>44881</v>
      </c>
      <c r="C49" t="s">
        <v>17</v>
      </c>
      <c r="D49" s="3">
        <v>4.99</v>
      </c>
      <c r="E49" s="5">
        <v>200.40080160320639</v>
      </c>
      <c r="F49" s="3" t="s">
        <v>36</v>
      </c>
      <c r="G49" s="3" t="s">
        <v>22</v>
      </c>
      <c r="H49" t="s">
        <v>31</v>
      </c>
      <c r="I49" t="s">
        <v>16</v>
      </c>
    </row>
    <row r="50" spans="1:9" x14ac:dyDescent="0.3">
      <c r="A50" s="3">
        <v>10500</v>
      </c>
      <c r="B50" s="4">
        <v>44882</v>
      </c>
      <c r="C50" t="s">
        <v>21</v>
      </c>
      <c r="D50" s="3">
        <v>12.99</v>
      </c>
      <c r="E50" s="5">
        <v>523.47959969207079</v>
      </c>
      <c r="F50" s="3" t="s">
        <v>36</v>
      </c>
      <c r="G50" s="3" t="s">
        <v>22</v>
      </c>
      <c r="H50" t="s">
        <v>31</v>
      </c>
      <c r="I50" t="s">
        <v>16</v>
      </c>
    </row>
    <row r="51" spans="1:9" x14ac:dyDescent="0.3">
      <c r="A51" s="3">
        <v>10501</v>
      </c>
      <c r="B51" s="4">
        <v>44882</v>
      </c>
      <c r="C51" t="s">
        <v>25</v>
      </c>
      <c r="D51" s="3">
        <v>9.9499999999999993</v>
      </c>
      <c r="E51" s="5">
        <v>201.00502512562818</v>
      </c>
      <c r="F51" s="3" t="s">
        <v>36</v>
      </c>
      <c r="G51" s="3" t="s">
        <v>22</v>
      </c>
      <c r="H51" t="s">
        <v>31</v>
      </c>
      <c r="I51" t="s">
        <v>16</v>
      </c>
    </row>
    <row r="52" spans="1:9" x14ac:dyDescent="0.3">
      <c r="A52" s="3">
        <v>10502</v>
      </c>
      <c r="B52" s="4">
        <v>44882</v>
      </c>
      <c r="C52" t="s">
        <v>9</v>
      </c>
      <c r="D52" s="3">
        <v>3.49</v>
      </c>
      <c r="E52" s="5">
        <v>630.3724928366762</v>
      </c>
      <c r="F52" s="3" t="s">
        <v>36</v>
      </c>
      <c r="G52" s="3" t="s">
        <v>22</v>
      </c>
      <c r="H52" t="s">
        <v>31</v>
      </c>
      <c r="I52" t="s">
        <v>16</v>
      </c>
    </row>
    <row r="53" spans="1:9" x14ac:dyDescent="0.3">
      <c r="A53" s="3">
        <v>10503</v>
      </c>
      <c r="B53" s="4">
        <v>44882</v>
      </c>
      <c r="C53" t="s">
        <v>14</v>
      </c>
      <c r="D53" s="3">
        <v>2.95</v>
      </c>
      <c r="E53" s="5">
        <v>677.96610169491521</v>
      </c>
      <c r="F53" s="3" t="s">
        <v>36</v>
      </c>
      <c r="G53" s="3" t="s">
        <v>22</v>
      </c>
      <c r="H53" t="s">
        <v>31</v>
      </c>
      <c r="I53" t="s">
        <v>16</v>
      </c>
    </row>
    <row r="54" spans="1:9" x14ac:dyDescent="0.3">
      <c r="A54" s="3">
        <v>10504</v>
      </c>
      <c r="B54" s="4">
        <v>44882</v>
      </c>
      <c r="C54" t="s">
        <v>17</v>
      </c>
      <c r="D54" s="3">
        <v>4.99</v>
      </c>
      <c r="E54" s="5">
        <v>200.40080160320639</v>
      </c>
      <c r="F54" s="3" t="s">
        <v>36</v>
      </c>
      <c r="G54" s="3" t="s">
        <v>22</v>
      </c>
      <c r="H54" t="s">
        <v>31</v>
      </c>
      <c r="I54" t="s">
        <v>16</v>
      </c>
    </row>
    <row r="55" spans="1:9" x14ac:dyDescent="0.3">
      <c r="A55" s="3">
        <v>10505</v>
      </c>
      <c r="B55" s="4">
        <v>44883</v>
      </c>
      <c r="C55" t="s">
        <v>21</v>
      </c>
      <c r="D55" s="3">
        <v>12.99</v>
      </c>
      <c r="E55" s="5">
        <v>538.87605850654347</v>
      </c>
      <c r="F55" s="3" t="s">
        <v>36</v>
      </c>
      <c r="G55" s="3" t="s">
        <v>22</v>
      </c>
      <c r="H55" t="s">
        <v>31</v>
      </c>
      <c r="I55" t="s">
        <v>16</v>
      </c>
    </row>
    <row r="56" spans="1:9" x14ac:dyDescent="0.3">
      <c r="A56" s="3">
        <v>10506</v>
      </c>
      <c r="B56" s="4">
        <v>44883</v>
      </c>
      <c r="C56" t="s">
        <v>25</v>
      </c>
      <c r="D56" s="3">
        <v>9.9499999999999993</v>
      </c>
      <c r="E56" s="5">
        <v>201.00502512562818</v>
      </c>
      <c r="F56" s="3" t="s">
        <v>36</v>
      </c>
      <c r="G56" s="3" t="s">
        <v>22</v>
      </c>
      <c r="H56" t="s">
        <v>31</v>
      </c>
      <c r="I56" t="s">
        <v>16</v>
      </c>
    </row>
    <row r="57" spans="1:9" x14ac:dyDescent="0.3">
      <c r="A57" s="3">
        <v>10507</v>
      </c>
      <c r="B57" s="4">
        <v>44883</v>
      </c>
      <c r="C57" t="s">
        <v>9</v>
      </c>
      <c r="D57" s="3">
        <v>3.49</v>
      </c>
      <c r="E57" s="5">
        <v>687.67908309455584</v>
      </c>
      <c r="F57" s="3" t="s">
        <v>36</v>
      </c>
      <c r="G57" s="3" t="s">
        <v>22</v>
      </c>
      <c r="H57" t="s">
        <v>31</v>
      </c>
      <c r="I57" t="s">
        <v>16</v>
      </c>
    </row>
    <row r="58" spans="1:9" x14ac:dyDescent="0.3">
      <c r="A58" s="3">
        <v>10508</v>
      </c>
      <c r="B58" s="4">
        <v>44883</v>
      </c>
      <c r="C58" t="s">
        <v>14</v>
      </c>
      <c r="D58" s="3">
        <v>2.95</v>
      </c>
      <c r="E58" s="5">
        <v>677.96610169491521</v>
      </c>
      <c r="F58" s="3" t="s">
        <v>36</v>
      </c>
      <c r="G58" s="3" t="s">
        <v>22</v>
      </c>
      <c r="H58" t="s">
        <v>31</v>
      </c>
      <c r="I58" t="s">
        <v>16</v>
      </c>
    </row>
    <row r="59" spans="1:9" x14ac:dyDescent="0.3">
      <c r="A59" s="3">
        <v>10509</v>
      </c>
      <c r="B59" s="4">
        <v>44883</v>
      </c>
      <c r="C59" t="s">
        <v>17</v>
      </c>
      <c r="D59" s="3">
        <v>4.99</v>
      </c>
      <c r="E59" s="5">
        <v>200.40080160320639</v>
      </c>
      <c r="F59" s="3" t="s">
        <v>36</v>
      </c>
      <c r="G59" s="3" t="s">
        <v>22</v>
      </c>
      <c r="H59" t="s">
        <v>31</v>
      </c>
      <c r="I59" t="s">
        <v>16</v>
      </c>
    </row>
    <row r="60" spans="1:9" x14ac:dyDescent="0.3">
      <c r="A60" s="3">
        <v>10510</v>
      </c>
      <c r="B60" s="4">
        <v>44884</v>
      </c>
      <c r="C60" t="s">
        <v>21</v>
      </c>
      <c r="D60" s="3">
        <v>12.99</v>
      </c>
      <c r="E60" s="5">
        <v>508.08314087759817</v>
      </c>
      <c r="F60" s="3" t="s">
        <v>36</v>
      </c>
      <c r="G60" s="3" t="s">
        <v>22</v>
      </c>
      <c r="H60" t="s">
        <v>31</v>
      </c>
      <c r="I60" t="s">
        <v>16</v>
      </c>
    </row>
    <row r="61" spans="1:9" x14ac:dyDescent="0.3">
      <c r="A61" s="3">
        <v>10511</v>
      </c>
      <c r="B61" s="4">
        <v>44884</v>
      </c>
      <c r="C61" t="s">
        <v>25</v>
      </c>
      <c r="D61" s="3">
        <v>9.9499999999999993</v>
      </c>
      <c r="E61" s="5">
        <v>201.00502512562818</v>
      </c>
      <c r="F61" s="3" t="s">
        <v>36</v>
      </c>
      <c r="G61" s="3" t="s">
        <v>22</v>
      </c>
      <c r="H61" t="s">
        <v>35</v>
      </c>
      <c r="I61" t="s">
        <v>20</v>
      </c>
    </row>
    <row r="62" spans="1:9" x14ac:dyDescent="0.3">
      <c r="A62" s="3">
        <v>10512</v>
      </c>
      <c r="B62" s="4">
        <v>44884</v>
      </c>
      <c r="C62" t="s">
        <v>9</v>
      </c>
      <c r="D62" s="3">
        <v>3.49</v>
      </c>
      <c r="E62" s="5">
        <v>687.67908309455584</v>
      </c>
      <c r="F62" s="3" t="s">
        <v>36</v>
      </c>
      <c r="G62" s="3" t="s">
        <v>22</v>
      </c>
      <c r="H62" t="s">
        <v>35</v>
      </c>
      <c r="I62" t="s">
        <v>20</v>
      </c>
    </row>
    <row r="63" spans="1:9" x14ac:dyDescent="0.3">
      <c r="A63" s="3">
        <v>10513</v>
      </c>
      <c r="B63" s="4">
        <v>44884</v>
      </c>
      <c r="C63" t="s">
        <v>14</v>
      </c>
      <c r="D63" s="3">
        <v>2.95</v>
      </c>
      <c r="E63" s="5">
        <v>677.96610169491521</v>
      </c>
      <c r="F63" s="3" t="s">
        <v>36</v>
      </c>
      <c r="G63" s="3" t="s">
        <v>37</v>
      </c>
      <c r="H63" t="s">
        <v>35</v>
      </c>
      <c r="I63" t="s">
        <v>20</v>
      </c>
    </row>
    <row r="64" spans="1:9" x14ac:dyDescent="0.3">
      <c r="A64" s="3">
        <v>10514</v>
      </c>
      <c r="B64" s="4">
        <v>44884</v>
      </c>
      <c r="C64" t="s">
        <v>17</v>
      </c>
      <c r="D64" s="3">
        <v>4.99</v>
      </c>
      <c r="E64" s="5">
        <v>200.40080160320639</v>
      </c>
      <c r="F64" s="3" t="s">
        <v>36</v>
      </c>
      <c r="G64" s="3" t="s">
        <v>37</v>
      </c>
      <c r="H64" t="s">
        <v>35</v>
      </c>
      <c r="I64" t="s">
        <v>20</v>
      </c>
    </row>
    <row r="65" spans="1:9" x14ac:dyDescent="0.3">
      <c r="A65" s="3">
        <v>10515</v>
      </c>
      <c r="B65" s="4">
        <v>44885</v>
      </c>
      <c r="C65" t="s">
        <v>21</v>
      </c>
      <c r="D65" s="3">
        <v>12.99</v>
      </c>
      <c r="E65" s="5">
        <v>477.29022324865281</v>
      </c>
      <c r="F65" s="3" t="s">
        <v>36</v>
      </c>
      <c r="G65" s="3" t="s">
        <v>37</v>
      </c>
      <c r="H65" t="s">
        <v>35</v>
      </c>
      <c r="I65" t="s">
        <v>20</v>
      </c>
    </row>
    <row r="66" spans="1:9" x14ac:dyDescent="0.3">
      <c r="A66" s="3">
        <v>10516</v>
      </c>
      <c r="B66" s="4">
        <v>44885</v>
      </c>
      <c r="C66" t="s">
        <v>25</v>
      </c>
      <c r="D66" s="3">
        <v>9.9499999999999993</v>
      </c>
      <c r="E66" s="5">
        <v>201.00502512562818</v>
      </c>
      <c r="F66" s="3" t="s">
        <v>36</v>
      </c>
      <c r="G66" s="3" t="s">
        <v>37</v>
      </c>
      <c r="H66" t="s">
        <v>35</v>
      </c>
      <c r="I66" t="s">
        <v>20</v>
      </c>
    </row>
    <row r="67" spans="1:9" x14ac:dyDescent="0.3">
      <c r="A67" s="3">
        <v>10483</v>
      </c>
      <c r="B67" s="4">
        <v>44878</v>
      </c>
      <c r="C67" t="s">
        <v>14</v>
      </c>
      <c r="D67" s="3">
        <v>2.95</v>
      </c>
      <c r="E67" s="5">
        <v>677.96610169491521</v>
      </c>
      <c r="F67" s="3" t="s">
        <v>18</v>
      </c>
      <c r="G67" s="3" t="s">
        <v>22</v>
      </c>
      <c r="H67" t="s">
        <v>19</v>
      </c>
      <c r="I67" t="s">
        <v>20</v>
      </c>
    </row>
    <row r="68" spans="1:9" x14ac:dyDescent="0.3">
      <c r="A68" s="3">
        <v>10484</v>
      </c>
      <c r="B68" s="4">
        <v>44878</v>
      </c>
      <c r="C68" t="s">
        <v>17</v>
      </c>
      <c r="D68" s="3">
        <v>4.99</v>
      </c>
      <c r="E68" s="5">
        <v>200.40080160320639</v>
      </c>
      <c r="F68" s="3" t="s">
        <v>18</v>
      </c>
      <c r="G68" s="3" t="s">
        <v>22</v>
      </c>
      <c r="H68" t="s">
        <v>19</v>
      </c>
      <c r="I68" t="s">
        <v>20</v>
      </c>
    </row>
    <row r="69" spans="1:9" x14ac:dyDescent="0.3">
      <c r="A69" s="3">
        <v>10485</v>
      </c>
      <c r="B69" s="4">
        <v>44879</v>
      </c>
      <c r="C69" t="s">
        <v>21</v>
      </c>
      <c r="D69" s="3">
        <v>12.99</v>
      </c>
      <c r="E69" s="5">
        <v>523.47959969207079</v>
      </c>
      <c r="F69" s="3" t="s">
        <v>18</v>
      </c>
      <c r="G69" s="3" t="s">
        <v>22</v>
      </c>
      <c r="H69" t="s">
        <v>19</v>
      </c>
      <c r="I69" t="s">
        <v>20</v>
      </c>
    </row>
    <row r="70" spans="1:9" x14ac:dyDescent="0.3">
      <c r="A70" s="3">
        <v>10520</v>
      </c>
      <c r="B70" s="4">
        <v>44886</v>
      </c>
      <c r="C70" t="s">
        <v>21</v>
      </c>
      <c r="D70" s="3">
        <v>12.99</v>
      </c>
      <c r="E70" s="5">
        <v>492.68668206312549</v>
      </c>
      <c r="F70" s="3" t="s">
        <v>36</v>
      </c>
      <c r="G70" s="3" t="s">
        <v>37</v>
      </c>
      <c r="H70" t="s">
        <v>28</v>
      </c>
      <c r="I70" t="s">
        <v>27</v>
      </c>
    </row>
    <row r="71" spans="1:9" x14ac:dyDescent="0.3">
      <c r="A71" s="3">
        <v>10521</v>
      </c>
      <c r="B71" s="4">
        <v>44886</v>
      </c>
      <c r="C71" t="s">
        <v>25</v>
      </c>
      <c r="D71" s="3">
        <v>9.9499999999999993</v>
      </c>
      <c r="E71" s="5">
        <v>201.00502512562818</v>
      </c>
      <c r="F71" s="3" t="s">
        <v>36</v>
      </c>
      <c r="G71" s="3" t="s">
        <v>37</v>
      </c>
      <c r="H71" t="s">
        <v>28</v>
      </c>
      <c r="I71" t="s">
        <v>27</v>
      </c>
    </row>
    <row r="72" spans="1:9" x14ac:dyDescent="0.3">
      <c r="A72" s="3">
        <v>10522</v>
      </c>
      <c r="B72" s="4">
        <v>44886</v>
      </c>
      <c r="C72" t="s">
        <v>9</v>
      </c>
      <c r="D72" s="3">
        <v>3.49</v>
      </c>
      <c r="E72" s="5">
        <v>687.67908309455584</v>
      </c>
      <c r="F72" s="3" t="s">
        <v>36</v>
      </c>
      <c r="G72" s="3" t="s">
        <v>37</v>
      </c>
      <c r="H72" t="s">
        <v>28</v>
      </c>
      <c r="I72" t="s">
        <v>27</v>
      </c>
    </row>
    <row r="73" spans="1:9" x14ac:dyDescent="0.3">
      <c r="A73" s="3">
        <v>10523</v>
      </c>
      <c r="B73" s="4">
        <v>44886</v>
      </c>
      <c r="C73" t="s">
        <v>14</v>
      </c>
      <c r="D73" s="3">
        <v>2.95</v>
      </c>
      <c r="E73" s="5">
        <v>745.7627118644067</v>
      </c>
      <c r="F73" s="3" t="s">
        <v>36</v>
      </c>
      <c r="G73" s="3" t="s">
        <v>37</v>
      </c>
      <c r="H73" t="s">
        <v>28</v>
      </c>
      <c r="I73" t="s">
        <v>27</v>
      </c>
    </row>
    <row r="74" spans="1:9" x14ac:dyDescent="0.3">
      <c r="A74" s="3">
        <v>10524</v>
      </c>
      <c r="B74" s="4">
        <v>44886</v>
      </c>
      <c r="C74" t="s">
        <v>17</v>
      </c>
      <c r="D74" s="3">
        <v>4.99</v>
      </c>
      <c r="E74" s="5">
        <v>200.40080160320639</v>
      </c>
      <c r="F74" s="3" t="s">
        <v>36</v>
      </c>
      <c r="G74" s="3" t="s">
        <v>37</v>
      </c>
      <c r="H74" t="s">
        <v>28</v>
      </c>
      <c r="I74" t="s">
        <v>27</v>
      </c>
    </row>
    <row r="75" spans="1:9" x14ac:dyDescent="0.3">
      <c r="A75" s="3">
        <v>10525</v>
      </c>
      <c r="B75" s="4">
        <v>44887</v>
      </c>
      <c r="C75" t="s">
        <v>21</v>
      </c>
      <c r="D75" s="3">
        <v>12.99</v>
      </c>
      <c r="E75" s="5">
        <v>461.89376443418013</v>
      </c>
      <c r="F75" s="3" t="s">
        <v>36</v>
      </c>
      <c r="G75" s="3" t="s">
        <v>37</v>
      </c>
      <c r="H75" t="s">
        <v>28</v>
      </c>
      <c r="I75" t="s">
        <v>27</v>
      </c>
    </row>
    <row r="76" spans="1:9" x14ac:dyDescent="0.3">
      <c r="A76" s="3">
        <v>10526</v>
      </c>
      <c r="B76" s="4">
        <v>44887</v>
      </c>
      <c r="C76" t="s">
        <v>25</v>
      </c>
      <c r="D76" s="3">
        <v>9.9499999999999993</v>
      </c>
      <c r="E76" s="5">
        <v>201.00502512562818</v>
      </c>
      <c r="F76" s="3" t="s">
        <v>36</v>
      </c>
      <c r="G76" s="3" t="s">
        <v>37</v>
      </c>
      <c r="H76" t="s">
        <v>28</v>
      </c>
      <c r="I76" t="s">
        <v>27</v>
      </c>
    </row>
    <row r="77" spans="1:9" x14ac:dyDescent="0.3">
      <c r="A77" s="3">
        <v>10527</v>
      </c>
      <c r="B77" s="4">
        <v>44887</v>
      </c>
      <c r="C77" t="s">
        <v>9</v>
      </c>
      <c r="D77" s="3">
        <v>3.49</v>
      </c>
      <c r="E77" s="5">
        <v>687.67908309455584</v>
      </c>
      <c r="F77" s="3" t="s">
        <v>36</v>
      </c>
      <c r="G77" s="3" t="s">
        <v>37</v>
      </c>
      <c r="H77" t="s">
        <v>28</v>
      </c>
      <c r="I77" t="s">
        <v>27</v>
      </c>
    </row>
    <row r="78" spans="1:9" x14ac:dyDescent="0.3">
      <c r="A78" s="3">
        <v>10528</v>
      </c>
      <c r="B78" s="4">
        <v>44887</v>
      </c>
      <c r="C78" t="s">
        <v>14</v>
      </c>
      <c r="D78" s="3">
        <v>2.95</v>
      </c>
      <c r="E78" s="5">
        <v>745.7627118644067</v>
      </c>
      <c r="F78" s="3" t="s">
        <v>36</v>
      </c>
      <c r="G78" s="3" t="s">
        <v>37</v>
      </c>
      <c r="H78" t="s">
        <v>28</v>
      </c>
      <c r="I78" t="s">
        <v>27</v>
      </c>
    </row>
    <row r="79" spans="1:9" x14ac:dyDescent="0.3">
      <c r="A79" s="3">
        <v>10529</v>
      </c>
      <c r="B79" s="4">
        <v>44887</v>
      </c>
      <c r="C79" t="s">
        <v>17</v>
      </c>
      <c r="D79" s="3">
        <v>4.99</v>
      </c>
      <c r="E79" s="5">
        <v>200.40080160320639</v>
      </c>
      <c r="F79" s="3" t="s">
        <v>36</v>
      </c>
      <c r="G79" s="3" t="s">
        <v>37</v>
      </c>
      <c r="H79" t="s">
        <v>28</v>
      </c>
      <c r="I79" t="s">
        <v>27</v>
      </c>
    </row>
    <row r="80" spans="1:9" x14ac:dyDescent="0.3">
      <c r="A80" s="3">
        <v>10530</v>
      </c>
      <c r="B80" s="4">
        <v>44888</v>
      </c>
      <c r="C80" t="s">
        <v>21</v>
      </c>
      <c r="D80" s="3">
        <v>12.99</v>
      </c>
      <c r="E80" s="5">
        <v>477.29022324865281</v>
      </c>
      <c r="F80" s="3" t="s">
        <v>36</v>
      </c>
      <c r="G80" s="3" t="s">
        <v>37</v>
      </c>
      <c r="H80" t="s">
        <v>28</v>
      </c>
      <c r="I80" t="s">
        <v>27</v>
      </c>
    </row>
    <row r="81" spans="1:9" x14ac:dyDescent="0.3">
      <c r="A81" s="3">
        <v>10531</v>
      </c>
      <c r="B81" s="4">
        <v>44888</v>
      </c>
      <c r="C81" t="s">
        <v>25</v>
      </c>
      <c r="D81" s="3">
        <v>9.9499999999999993</v>
      </c>
      <c r="E81" s="5">
        <v>201.00502512562818</v>
      </c>
      <c r="F81" s="3" t="s">
        <v>36</v>
      </c>
      <c r="G81" s="3" t="s">
        <v>37</v>
      </c>
      <c r="H81" t="s">
        <v>28</v>
      </c>
      <c r="I81" t="s">
        <v>27</v>
      </c>
    </row>
    <row r="82" spans="1:9" x14ac:dyDescent="0.3">
      <c r="A82" s="3">
        <v>10532</v>
      </c>
      <c r="B82" s="4">
        <v>44888</v>
      </c>
      <c r="C82" t="s">
        <v>9</v>
      </c>
      <c r="D82" s="3">
        <v>3.49</v>
      </c>
      <c r="E82" s="5">
        <v>687.67908309455584</v>
      </c>
      <c r="F82" s="3" t="s">
        <v>36</v>
      </c>
      <c r="G82" s="3" t="s">
        <v>37</v>
      </c>
      <c r="H82" t="s">
        <v>35</v>
      </c>
      <c r="I82" t="s">
        <v>20</v>
      </c>
    </row>
    <row r="83" spans="1:9" x14ac:dyDescent="0.3">
      <c r="A83" s="3">
        <v>10533</v>
      </c>
      <c r="B83" s="4">
        <v>44888</v>
      </c>
      <c r="C83" t="s">
        <v>14</v>
      </c>
      <c r="D83" s="3">
        <v>2.95</v>
      </c>
      <c r="E83" s="5">
        <v>745.7627118644067</v>
      </c>
      <c r="F83" s="3" t="s">
        <v>36</v>
      </c>
      <c r="G83" s="3" t="s">
        <v>37</v>
      </c>
      <c r="H83" t="s">
        <v>35</v>
      </c>
      <c r="I83" t="s">
        <v>20</v>
      </c>
    </row>
    <row r="84" spans="1:9" x14ac:dyDescent="0.3">
      <c r="A84" s="3">
        <v>10534</v>
      </c>
      <c r="B84" s="4">
        <v>44888</v>
      </c>
      <c r="C84" t="s">
        <v>17</v>
      </c>
      <c r="D84" s="3">
        <v>4.99</v>
      </c>
      <c r="E84" s="5">
        <v>200.40080160320639</v>
      </c>
      <c r="F84" s="3" t="s">
        <v>36</v>
      </c>
      <c r="G84" s="3" t="s">
        <v>37</v>
      </c>
      <c r="H84" t="s">
        <v>31</v>
      </c>
      <c r="I84" t="s">
        <v>16</v>
      </c>
    </row>
    <row r="85" spans="1:9" x14ac:dyDescent="0.3">
      <c r="A85" s="3">
        <v>10535</v>
      </c>
      <c r="B85" s="4">
        <v>44889</v>
      </c>
      <c r="C85" t="s">
        <v>21</v>
      </c>
      <c r="D85" s="3">
        <v>12.99</v>
      </c>
      <c r="E85" s="5">
        <v>477.29022324865281</v>
      </c>
      <c r="F85" s="3" t="s">
        <v>36</v>
      </c>
      <c r="G85" s="3" t="s">
        <v>22</v>
      </c>
      <c r="H85" t="s">
        <v>31</v>
      </c>
      <c r="I85" t="s">
        <v>16</v>
      </c>
    </row>
    <row r="86" spans="1:9" x14ac:dyDescent="0.3">
      <c r="A86" s="3">
        <v>10536</v>
      </c>
      <c r="B86" s="4">
        <v>44889</v>
      </c>
      <c r="C86" t="s">
        <v>25</v>
      </c>
      <c r="D86" s="3">
        <v>9.9499999999999993</v>
      </c>
      <c r="E86" s="5">
        <v>201.00502512562818</v>
      </c>
      <c r="F86" s="3" t="s">
        <v>36</v>
      </c>
      <c r="G86" s="3" t="s">
        <v>22</v>
      </c>
      <c r="H86" t="s">
        <v>31</v>
      </c>
      <c r="I86" t="s">
        <v>16</v>
      </c>
    </row>
    <row r="87" spans="1:9" x14ac:dyDescent="0.3">
      <c r="A87" s="3">
        <v>10537</v>
      </c>
      <c r="B87" s="4">
        <v>44889</v>
      </c>
      <c r="C87" t="s">
        <v>9</v>
      </c>
      <c r="D87" s="3">
        <v>3.49</v>
      </c>
      <c r="E87" s="5">
        <v>630.3724928366762</v>
      </c>
      <c r="F87" s="3" t="s">
        <v>36</v>
      </c>
      <c r="G87" s="3" t="s">
        <v>22</v>
      </c>
      <c r="H87" t="s">
        <v>31</v>
      </c>
      <c r="I87" t="s">
        <v>16</v>
      </c>
    </row>
    <row r="88" spans="1:9" x14ac:dyDescent="0.3">
      <c r="A88" s="3">
        <v>10538</v>
      </c>
      <c r="B88" s="4">
        <v>44889</v>
      </c>
      <c r="C88" t="s">
        <v>14</v>
      </c>
      <c r="D88" s="3">
        <v>2.95</v>
      </c>
      <c r="E88" s="5">
        <v>745.7627118644067</v>
      </c>
      <c r="F88" s="3" t="s">
        <v>36</v>
      </c>
      <c r="G88" s="3" t="s">
        <v>22</v>
      </c>
      <c r="H88" t="s">
        <v>31</v>
      </c>
      <c r="I88" t="s">
        <v>16</v>
      </c>
    </row>
    <row r="89" spans="1:9" x14ac:dyDescent="0.3">
      <c r="A89" s="3">
        <v>10539</v>
      </c>
      <c r="B89" s="4">
        <v>44889</v>
      </c>
      <c r="C89" t="s">
        <v>17</v>
      </c>
      <c r="D89" s="3">
        <v>4.99</v>
      </c>
      <c r="E89" s="5">
        <v>200.40080160320639</v>
      </c>
      <c r="F89" s="3" t="s">
        <v>36</v>
      </c>
      <c r="G89" s="3" t="s">
        <v>22</v>
      </c>
      <c r="H89" t="s">
        <v>31</v>
      </c>
      <c r="I89" t="s">
        <v>16</v>
      </c>
    </row>
    <row r="90" spans="1:9" x14ac:dyDescent="0.3">
      <c r="A90" s="3">
        <v>10540</v>
      </c>
      <c r="B90" s="4">
        <v>44890</v>
      </c>
      <c r="C90" t="s">
        <v>21</v>
      </c>
      <c r="D90" s="3">
        <v>12.99</v>
      </c>
      <c r="E90" s="5">
        <v>461.89376443418013</v>
      </c>
      <c r="F90" s="3" t="s">
        <v>36</v>
      </c>
      <c r="G90" s="3" t="s">
        <v>22</v>
      </c>
      <c r="H90" t="s">
        <v>31</v>
      </c>
      <c r="I90" t="s">
        <v>16</v>
      </c>
    </row>
    <row r="91" spans="1:9" x14ac:dyDescent="0.3">
      <c r="A91" s="3">
        <v>10541</v>
      </c>
      <c r="B91" s="4">
        <v>44890</v>
      </c>
      <c r="C91" t="s">
        <v>25</v>
      </c>
      <c r="D91" s="3">
        <v>9.9499999999999993</v>
      </c>
      <c r="E91" s="5">
        <v>201.00502512562818</v>
      </c>
      <c r="F91" s="3" t="s">
        <v>36</v>
      </c>
      <c r="G91" s="3" t="s">
        <v>22</v>
      </c>
      <c r="H91" t="s">
        <v>38</v>
      </c>
      <c r="I91" t="s">
        <v>13</v>
      </c>
    </row>
    <row r="92" spans="1:9" x14ac:dyDescent="0.3">
      <c r="A92" s="3">
        <v>10542</v>
      </c>
      <c r="B92" s="4">
        <v>44890</v>
      </c>
      <c r="C92" t="s">
        <v>9</v>
      </c>
      <c r="D92" s="3">
        <v>3.49</v>
      </c>
      <c r="E92" s="5">
        <v>630.3724928366762</v>
      </c>
      <c r="F92" s="3" t="s">
        <v>36</v>
      </c>
      <c r="G92" s="3" t="s">
        <v>22</v>
      </c>
      <c r="H92" t="s">
        <v>38</v>
      </c>
      <c r="I92" t="s">
        <v>13</v>
      </c>
    </row>
    <row r="93" spans="1:9" x14ac:dyDescent="0.3">
      <c r="A93" s="3">
        <v>10543</v>
      </c>
      <c r="B93" s="4">
        <v>44890</v>
      </c>
      <c r="C93" t="s">
        <v>14</v>
      </c>
      <c r="D93" s="3">
        <v>2.95</v>
      </c>
      <c r="E93" s="5">
        <v>745.7627118644067</v>
      </c>
      <c r="F93" s="3" t="s">
        <v>36</v>
      </c>
      <c r="G93" s="3" t="s">
        <v>22</v>
      </c>
      <c r="H93" t="s">
        <v>38</v>
      </c>
      <c r="I93" t="s">
        <v>13</v>
      </c>
    </row>
    <row r="94" spans="1:9" x14ac:dyDescent="0.3">
      <c r="A94" s="3">
        <v>10544</v>
      </c>
      <c r="B94" s="4">
        <v>44890</v>
      </c>
      <c r="C94" t="s">
        <v>17</v>
      </c>
      <c r="D94" s="3">
        <v>4.99</v>
      </c>
      <c r="E94" s="5">
        <v>200.40080160320639</v>
      </c>
      <c r="F94" s="3" t="s">
        <v>36</v>
      </c>
      <c r="G94" s="3" t="s">
        <v>22</v>
      </c>
      <c r="H94" t="s">
        <v>38</v>
      </c>
      <c r="I94" t="s">
        <v>13</v>
      </c>
    </row>
    <row r="95" spans="1:9" x14ac:dyDescent="0.3">
      <c r="A95" s="3">
        <v>10545</v>
      </c>
      <c r="B95" s="4">
        <v>44891</v>
      </c>
      <c r="C95" t="s">
        <v>21</v>
      </c>
      <c r="D95" s="3">
        <v>12.99</v>
      </c>
      <c r="E95" s="5">
        <v>446.49730561970739</v>
      </c>
      <c r="F95" s="3" t="s">
        <v>36</v>
      </c>
      <c r="G95" s="3" t="s">
        <v>22</v>
      </c>
      <c r="H95" t="s">
        <v>38</v>
      </c>
      <c r="I95" t="s">
        <v>13</v>
      </c>
    </row>
    <row r="96" spans="1:9" x14ac:dyDescent="0.3">
      <c r="A96" s="3">
        <v>10546</v>
      </c>
      <c r="B96" s="4">
        <v>44891</v>
      </c>
      <c r="C96" t="s">
        <v>25</v>
      </c>
      <c r="D96" s="3">
        <v>9.9499999999999993</v>
      </c>
      <c r="E96" s="5">
        <v>201.00502512562818</v>
      </c>
      <c r="F96" s="3" t="s">
        <v>36</v>
      </c>
      <c r="G96" s="3" t="s">
        <v>22</v>
      </c>
      <c r="H96" t="s">
        <v>38</v>
      </c>
      <c r="I96" t="s">
        <v>13</v>
      </c>
    </row>
    <row r="97" spans="1:9" x14ac:dyDescent="0.3">
      <c r="A97" s="3">
        <v>10547</v>
      </c>
      <c r="B97" s="4">
        <v>44891</v>
      </c>
      <c r="C97" t="s">
        <v>9</v>
      </c>
      <c r="D97" s="3">
        <v>3.49</v>
      </c>
      <c r="E97" s="5">
        <v>630.3724928366762</v>
      </c>
      <c r="F97" s="3" t="s">
        <v>36</v>
      </c>
      <c r="G97" s="3" t="s">
        <v>22</v>
      </c>
      <c r="H97" t="s">
        <v>38</v>
      </c>
      <c r="I97" t="s">
        <v>13</v>
      </c>
    </row>
    <row r="98" spans="1:9" x14ac:dyDescent="0.3">
      <c r="A98" s="3">
        <v>10548</v>
      </c>
      <c r="B98" s="4">
        <v>44891</v>
      </c>
      <c r="C98" t="s">
        <v>14</v>
      </c>
      <c r="D98" s="3">
        <v>2.95</v>
      </c>
      <c r="E98" s="5">
        <v>745.7627118644067</v>
      </c>
      <c r="F98" s="3" t="s">
        <v>36</v>
      </c>
      <c r="G98" s="3" t="s">
        <v>22</v>
      </c>
      <c r="H98" t="s">
        <v>38</v>
      </c>
      <c r="I98" t="s">
        <v>13</v>
      </c>
    </row>
    <row r="99" spans="1:9" x14ac:dyDescent="0.3">
      <c r="A99" s="3">
        <v>10549</v>
      </c>
      <c r="B99" s="4">
        <v>44891</v>
      </c>
      <c r="C99" t="s">
        <v>17</v>
      </c>
      <c r="D99" s="3">
        <v>4.99</v>
      </c>
      <c r="E99" s="5">
        <v>200.40080160320639</v>
      </c>
      <c r="F99" s="3" t="s">
        <v>36</v>
      </c>
      <c r="G99" s="3" t="s">
        <v>22</v>
      </c>
      <c r="H99" t="s">
        <v>38</v>
      </c>
      <c r="I99" t="s">
        <v>13</v>
      </c>
    </row>
    <row r="100" spans="1:9" x14ac:dyDescent="0.3">
      <c r="A100" s="3">
        <v>10550</v>
      </c>
      <c r="B100" s="4">
        <v>44892</v>
      </c>
      <c r="C100" t="s">
        <v>21</v>
      </c>
      <c r="D100" s="3">
        <v>12.99</v>
      </c>
      <c r="E100" s="5">
        <v>461.89376443418013</v>
      </c>
      <c r="F100" s="3" t="s">
        <v>36</v>
      </c>
      <c r="G100" s="3" t="s">
        <v>22</v>
      </c>
      <c r="H100" t="s">
        <v>38</v>
      </c>
      <c r="I100" t="s">
        <v>13</v>
      </c>
    </row>
    <row r="101" spans="1:9" x14ac:dyDescent="0.3">
      <c r="A101" s="3">
        <v>10551</v>
      </c>
      <c r="B101" s="4">
        <v>44892</v>
      </c>
      <c r="C101" t="s">
        <v>25</v>
      </c>
      <c r="D101" s="3">
        <v>9.9499999999999993</v>
      </c>
      <c r="E101" s="5">
        <v>201.00502512562818</v>
      </c>
      <c r="F101" s="3" t="s">
        <v>36</v>
      </c>
      <c r="G101" s="3" t="s">
        <v>22</v>
      </c>
      <c r="H101" t="s">
        <v>38</v>
      </c>
      <c r="I101" t="s">
        <v>13</v>
      </c>
    </row>
    <row r="102" spans="1:9" x14ac:dyDescent="0.3">
      <c r="A102" s="3">
        <v>10552</v>
      </c>
      <c r="B102" s="4">
        <v>44892</v>
      </c>
      <c r="C102" t="s">
        <v>9</v>
      </c>
      <c r="D102" s="3">
        <v>3.49</v>
      </c>
      <c r="E102" s="5">
        <v>630.3724928366762</v>
      </c>
      <c r="F102" s="3" t="s">
        <v>10</v>
      </c>
      <c r="G102" s="3" t="s">
        <v>22</v>
      </c>
      <c r="H102" t="s">
        <v>38</v>
      </c>
      <c r="I102" t="s">
        <v>13</v>
      </c>
    </row>
    <row r="103" spans="1:9" x14ac:dyDescent="0.3">
      <c r="A103" s="3">
        <v>10553</v>
      </c>
      <c r="B103" s="4">
        <v>44892</v>
      </c>
      <c r="C103" t="s">
        <v>14</v>
      </c>
      <c r="D103" s="3">
        <v>2.95</v>
      </c>
      <c r="E103" s="5">
        <v>745.7627118644067</v>
      </c>
      <c r="F103" s="3" t="s">
        <v>10</v>
      </c>
      <c r="G103" s="3" t="s">
        <v>22</v>
      </c>
      <c r="H103" t="s">
        <v>38</v>
      </c>
      <c r="I103" t="s">
        <v>13</v>
      </c>
    </row>
    <row r="104" spans="1:9" x14ac:dyDescent="0.3">
      <c r="A104" s="3">
        <v>10554</v>
      </c>
      <c r="B104" s="4">
        <v>44892</v>
      </c>
      <c r="C104" t="s">
        <v>17</v>
      </c>
      <c r="D104" s="3">
        <v>4.99</v>
      </c>
      <c r="E104" s="5">
        <v>200.40080160320639</v>
      </c>
      <c r="F104" s="3" t="s">
        <v>10</v>
      </c>
      <c r="G104" s="3" t="s">
        <v>22</v>
      </c>
      <c r="H104" t="s">
        <v>38</v>
      </c>
      <c r="I104" t="s">
        <v>13</v>
      </c>
    </row>
    <row r="105" spans="1:9" x14ac:dyDescent="0.3">
      <c r="A105" s="3">
        <v>10555</v>
      </c>
      <c r="B105" s="4">
        <v>44893</v>
      </c>
      <c r="C105" t="s">
        <v>21</v>
      </c>
      <c r="D105" s="3">
        <v>12.99</v>
      </c>
      <c r="E105" s="5">
        <v>477.29022324865281</v>
      </c>
      <c r="F105" s="3" t="s">
        <v>10</v>
      </c>
      <c r="G105" s="3" t="s">
        <v>22</v>
      </c>
      <c r="H105" t="s">
        <v>38</v>
      </c>
      <c r="I105" t="s">
        <v>13</v>
      </c>
    </row>
    <row r="106" spans="1:9" x14ac:dyDescent="0.3">
      <c r="A106" s="3">
        <v>10556</v>
      </c>
      <c r="B106" s="4">
        <v>44893</v>
      </c>
      <c r="C106" t="s">
        <v>25</v>
      </c>
      <c r="D106" s="3">
        <v>9.9499999999999993</v>
      </c>
      <c r="E106" s="5">
        <v>201.00502512562818</v>
      </c>
      <c r="F106" s="3" t="s">
        <v>10</v>
      </c>
      <c r="G106" s="3" t="s">
        <v>22</v>
      </c>
      <c r="H106" t="s">
        <v>38</v>
      </c>
      <c r="I106" t="s">
        <v>13</v>
      </c>
    </row>
    <row r="107" spans="1:9" x14ac:dyDescent="0.3">
      <c r="A107" s="3">
        <v>10557</v>
      </c>
      <c r="B107" s="4">
        <v>44893</v>
      </c>
      <c r="C107" t="s">
        <v>9</v>
      </c>
      <c r="D107" s="3">
        <v>3.49</v>
      </c>
      <c r="E107" s="5">
        <v>630.3724928366762</v>
      </c>
      <c r="F107" s="3" t="s">
        <v>10</v>
      </c>
      <c r="G107" s="3" t="s">
        <v>22</v>
      </c>
      <c r="H107" t="s">
        <v>38</v>
      </c>
      <c r="I107" t="s">
        <v>13</v>
      </c>
    </row>
    <row r="108" spans="1:9" x14ac:dyDescent="0.3">
      <c r="A108" s="3">
        <v>10558</v>
      </c>
      <c r="B108" s="4">
        <v>44893</v>
      </c>
      <c r="C108" t="s">
        <v>14</v>
      </c>
      <c r="D108" s="3">
        <v>2.95</v>
      </c>
      <c r="E108" s="5">
        <v>677.96610169491521</v>
      </c>
      <c r="F108" s="3" t="s">
        <v>10</v>
      </c>
      <c r="G108" s="3" t="s">
        <v>22</v>
      </c>
      <c r="H108" t="s">
        <v>38</v>
      </c>
      <c r="I108" t="s">
        <v>13</v>
      </c>
    </row>
    <row r="109" spans="1:9" x14ac:dyDescent="0.3">
      <c r="A109" s="3">
        <v>10559</v>
      </c>
      <c r="B109" s="4">
        <v>44893</v>
      </c>
      <c r="C109" t="s">
        <v>17</v>
      </c>
      <c r="D109" s="3">
        <v>4.99</v>
      </c>
      <c r="E109" s="5">
        <v>200.40080160320639</v>
      </c>
      <c r="F109" s="3" t="s">
        <v>10</v>
      </c>
      <c r="G109" s="3" t="s">
        <v>22</v>
      </c>
      <c r="H109" t="s">
        <v>38</v>
      </c>
      <c r="I109" t="s">
        <v>13</v>
      </c>
    </row>
    <row r="110" spans="1:9" x14ac:dyDescent="0.3">
      <c r="A110" s="3">
        <v>10560</v>
      </c>
      <c r="B110" s="4">
        <v>44894</v>
      </c>
      <c r="C110" t="s">
        <v>21</v>
      </c>
      <c r="D110" s="3">
        <v>12.99</v>
      </c>
      <c r="E110" s="5">
        <v>477.29022324865281</v>
      </c>
      <c r="F110" s="3" t="s">
        <v>10</v>
      </c>
      <c r="G110" s="3" t="s">
        <v>22</v>
      </c>
      <c r="H110" t="s">
        <v>38</v>
      </c>
      <c r="I110" t="s">
        <v>13</v>
      </c>
    </row>
    <row r="111" spans="1:9" x14ac:dyDescent="0.3">
      <c r="A111" s="3">
        <v>10561</v>
      </c>
      <c r="B111" s="4">
        <v>44894</v>
      </c>
      <c r="C111" t="s">
        <v>25</v>
      </c>
      <c r="D111" s="3">
        <v>9.9499999999999993</v>
      </c>
      <c r="E111" s="5">
        <v>201.00502512562818</v>
      </c>
      <c r="F111" s="3" t="s">
        <v>10</v>
      </c>
      <c r="G111" s="3" t="s">
        <v>22</v>
      </c>
      <c r="H111" t="s">
        <v>38</v>
      </c>
      <c r="I111" t="s">
        <v>13</v>
      </c>
    </row>
    <row r="112" spans="1:9" x14ac:dyDescent="0.3">
      <c r="A112" s="3">
        <v>10562</v>
      </c>
      <c r="B112" s="4">
        <v>44894</v>
      </c>
      <c r="C112" t="s">
        <v>9</v>
      </c>
      <c r="D112" s="3">
        <v>3.49</v>
      </c>
      <c r="E112" s="5">
        <v>630.3724928366762</v>
      </c>
      <c r="F112" s="3" t="s">
        <v>10</v>
      </c>
      <c r="G112" s="3" t="s">
        <v>22</v>
      </c>
      <c r="H112" t="s">
        <v>38</v>
      </c>
      <c r="I112" t="s">
        <v>13</v>
      </c>
    </row>
    <row r="113" spans="1:9" x14ac:dyDescent="0.3">
      <c r="A113" s="3">
        <v>10563</v>
      </c>
      <c r="B113" s="4">
        <v>44894</v>
      </c>
      <c r="C113" t="s">
        <v>14</v>
      </c>
      <c r="D113" s="3">
        <v>2.95</v>
      </c>
      <c r="E113" s="5">
        <v>677.96610169491521</v>
      </c>
      <c r="F113" s="3" t="s">
        <v>10</v>
      </c>
      <c r="G113" s="3" t="s">
        <v>22</v>
      </c>
      <c r="H113" t="s">
        <v>38</v>
      </c>
      <c r="I113" t="s">
        <v>13</v>
      </c>
    </row>
    <row r="114" spans="1:9" x14ac:dyDescent="0.3">
      <c r="A114" s="3">
        <v>10564</v>
      </c>
      <c r="B114" s="4">
        <v>44894</v>
      </c>
      <c r="C114" t="s">
        <v>17</v>
      </c>
      <c r="D114" s="3">
        <v>4.99</v>
      </c>
      <c r="E114" s="5">
        <v>200.40080160320639</v>
      </c>
      <c r="F114" s="3" t="s">
        <v>10</v>
      </c>
      <c r="G114" s="3" t="s">
        <v>22</v>
      </c>
      <c r="H114" t="s">
        <v>38</v>
      </c>
      <c r="I114" t="s">
        <v>13</v>
      </c>
    </row>
    <row r="115" spans="1:9" x14ac:dyDescent="0.3">
      <c r="A115" s="3">
        <v>10565</v>
      </c>
      <c r="B115" s="4">
        <v>44895</v>
      </c>
      <c r="C115" t="s">
        <v>21</v>
      </c>
      <c r="D115" s="3">
        <v>12.99</v>
      </c>
      <c r="E115" s="5">
        <v>492.68668206312549</v>
      </c>
      <c r="F115" s="3" t="s">
        <v>10</v>
      </c>
      <c r="G115" s="3" t="s">
        <v>22</v>
      </c>
      <c r="H115" t="s">
        <v>38</v>
      </c>
      <c r="I115" t="s">
        <v>13</v>
      </c>
    </row>
    <row r="116" spans="1:9" x14ac:dyDescent="0.3">
      <c r="A116" s="3">
        <v>10566</v>
      </c>
      <c r="B116" s="4">
        <v>44895</v>
      </c>
      <c r="C116" t="s">
        <v>25</v>
      </c>
      <c r="D116" s="3">
        <v>9.9499999999999993</v>
      </c>
      <c r="E116" s="5">
        <v>201.00502512562818</v>
      </c>
      <c r="F116" s="3" t="s">
        <v>10</v>
      </c>
      <c r="G116" s="3" t="s">
        <v>22</v>
      </c>
      <c r="H116" t="s">
        <v>38</v>
      </c>
      <c r="I116" t="s">
        <v>13</v>
      </c>
    </row>
    <row r="117" spans="1:9" x14ac:dyDescent="0.3">
      <c r="A117" s="3">
        <v>10567</v>
      </c>
      <c r="B117" s="4">
        <v>44895</v>
      </c>
      <c r="C117" t="s">
        <v>9</v>
      </c>
      <c r="D117" s="3">
        <v>3.49</v>
      </c>
      <c r="E117" s="5">
        <v>630.3724928366762</v>
      </c>
      <c r="F117" s="3" t="s">
        <v>10</v>
      </c>
      <c r="G117" s="3" t="s">
        <v>22</v>
      </c>
      <c r="H117" t="s">
        <v>38</v>
      </c>
      <c r="I117" t="s">
        <v>13</v>
      </c>
    </row>
    <row r="118" spans="1:9" x14ac:dyDescent="0.3">
      <c r="A118" s="3">
        <v>10568</v>
      </c>
      <c r="B118" s="4">
        <v>44895</v>
      </c>
      <c r="C118" t="s">
        <v>14</v>
      </c>
      <c r="D118" s="3">
        <v>2.95</v>
      </c>
      <c r="E118" s="5">
        <v>677.96610169491521</v>
      </c>
      <c r="F118" s="3" t="s">
        <v>10</v>
      </c>
      <c r="G118" s="3" t="s">
        <v>22</v>
      </c>
      <c r="H118" t="s">
        <v>38</v>
      </c>
      <c r="I118" t="s">
        <v>13</v>
      </c>
    </row>
    <row r="119" spans="1:9" x14ac:dyDescent="0.3">
      <c r="A119" s="3">
        <v>10569</v>
      </c>
      <c r="B119" s="4">
        <v>44895</v>
      </c>
      <c r="C119" t="s">
        <v>17</v>
      </c>
      <c r="D119" s="3">
        <v>4.99</v>
      </c>
      <c r="E119" s="5">
        <v>200.40080160320639</v>
      </c>
      <c r="F119" s="3" t="s">
        <v>10</v>
      </c>
      <c r="G119" s="3" t="s">
        <v>22</v>
      </c>
      <c r="H119" t="s">
        <v>38</v>
      </c>
      <c r="I119" t="s">
        <v>13</v>
      </c>
    </row>
    <row r="120" spans="1:9" x14ac:dyDescent="0.3">
      <c r="A120" s="3">
        <v>10570</v>
      </c>
      <c r="B120" s="4">
        <v>44896</v>
      </c>
      <c r="C120" t="s">
        <v>21</v>
      </c>
      <c r="D120" s="3">
        <v>12.99</v>
      </c>
      <c r="E120" s="5">
        <v>492.68668206312549</v>
      </c>
      <c r="F120" s="3" t="s">
        <v>10</v>
      </c>
      <c r="G120" s="3" t="s">
        <v>22</v>
      </c>
      <c r="H120" t="s">
        <v>38</v>
      </c>
      <c r="I120" t="s">
        <v>13</v>
      </c>
    </row>
    <row r="121" spans="1:9" x14ac:dyDescent="0.3">
      <c r="A121" s="3">
        <v>10571</v>
      </c>
      <c r="B121" s="4">
        <v>44896</v>
      </c>
      <c r="C121" t="s">
        <v>25</v>
      </c>
      <c r="D121" s="3">
        <v>9.9499999999999993</v>
      </c>
      <c r="E121" s="5">
        <v>201.00502512562818</v>
      </c>
      <c r="F121" s="3" t="s">
        <v>10</v>
      </c>
      <c r="G121" s="3" t="s">
        <v>22</v>
      </c>
      <c r="H121" t="s">
        <v>38</v>
      </c>
      <c r="I121" t="s">
        <v>13</v>
      </c>
    </row>
    <row r="122" spans="1:9" x14ac:dyDescent="0.3">
      <c r="A122" s="3">
        <v>10572</v>
      </c>
      <c r="B122" s="4">
        <v>44896</v>
      </c>
      <c r="C122" t="s">
        <v>9</v>
      </c>
      <c r="D122" s="3">
        <v>3.49</v>
      </c>
      <c r="E122" s="5">
        <v>573.06590257879645</v>
      </c>
      <c r="F122" s="3" t="s">
        <v>10</v>
      </c>
      <c r="G122" s="3" t="s">
        <v>22</v>
      </c>
      <c r="H122" t="s">
        <v>28</v>
      </c>
      <c r="I122" t="s">
        <v>27</v>
      </c>
    </row>
    <row r="123" spans="1:9" x14ac:dyDescent="0.3">
      <c r="A123" s="3">
        <v>10573</v>
      </c>
      <c r="B123" s="4">
        <v>44896</v>
      </c>
      <c r="C123" t="s">
        <v>14</v>
      </c>
      <c r="D123" s="3">
        <v>2.95</v>
      </c>
      <c r="E123" s="5">
        <v>677.96610169491521</v>
      </c>
      <c r="F123" s="3" t="s">
        <v>10</v>
      </c>
      <c r="G123" s="3" t="s">
        <v>22</v>
      </c>
      <c r="H123" t="s">
        <v>28</v>
      </c>
      <c r="I123" t="s">
        <v>27</v>
      </c>
    </row>
    <row r="124" spans="1:9" x14ac:dyDescent="0.3">
      <c r="A124" s="3">
        <v>10574</v>
      </c>
      <c r="B124" s="4">
        <v>44896</v>
      </c>
      <c r="C124" t="s">
        <v>17</v>
      </c>
      <c r="D124" s="3">
        <v>4.99</v>
      </c>
      <c r="E124" s="5">
        <v>200.40080160320639</v>
      </c>
      <c r="F124" s="3" t="s">
        <v>10</v>
      </c>
      <c r="G124" s="3" t="s">
        <v>22</v>
      </c>
      <c r="H124" t="s">
        <v>28</v>
      </c>
      <c r="I124" t="s">
        <v>27</v>
      </c>
    </row>
    <row r="125" spans="1:9" x14ac:dyDescent="0.3">
      <c r="A125" s="3">
        <v>10575</v>
      </c>
      <c r="B125" s="4">
        <v>44897</v>
      </c>
      <c r="C125" t="s">
        <v>21</v>
      </c>
      <c r="D125" s="3">
        <v>12.99</v>
      </c>
      <c r="E125" s="5">
        <v>523.47959969207079</v>
      </c>
      <c r="F125" s="3" t="s">
        <v>10</v>
      </c>
      <c r="G125" s="3" t="s">
        <v>22</v>
      </c>
      <c r="H125" t="s">
        <v>28</v>
      </c>
      <c r="I125" t="s">
        <v>27</v>
      </c>
    </row>
    <row r="126" spans="1:9" x14ac:dyDescent="0.3">
      <c r="A126" s="3">
        <v>10576</v>
      </c>
      <c r="B126" s="4">
        <v>44897</v>
      </c>
      <c r="C126" t="s">
        <v>25</v>
      </c>
      <c r="D126" s="3">
        <v>9.9499999999999993</v>
      </c>
      <c r="E126" s="5">
        <v>201.00502512562818</v>
      </c>
      <c r="F126" s="3" t="s">
        <v>10</v>
      </c>
      <c r="G126" s="3" t="s">
        <v>22</v>
      </c>
      <c r="H126" t="s">
        <v>28</v>
      </c>
      <c r="I126" t="s">
        <v>27</v>
      </c>
    </row>
    <row r="127" spans="1:9" x14ac:dyDescent="0.3">
      <c r="A127" s="3">
        <v>10577</v>
      </c>
      <c r="B127" s="4">
        <v>44897</v>
      </c>
      <c r="C127" t="s">
        <v>9</v>
      </c>
      <c r="D127" s="3">
        <v>3.49</v>
      </c>
      <c r="E127" s="5">
        <v>630.3724928366762</v>
      </c>
      <c r="F127" s="3" t="s">
        <v>10</v>
      </c>
      <c r="G127" s="3" t="s">
        <v>22</v>
      </c>
      <c r="H127" t="s">
        <v>28</v>
      </c>
      <c r="I127" t="s">
        <v>27</v>
      </c>
    </row>
    <row r="128" spans="1:9" x14ac:dyDescent="0.3">
      <c r="A128" s="3">
        <v>10578</v>
      </c>
      <c r="B128" s="4">
        <v>44897</v>
      </c>
      <c r="C128" t="s">
        <v>14</v>
      </c>
      <c r="D128" s="3">
        <v>2.95</v>
      </c>
      <c r="E128" s="5">
        <v>677.96610169491521</v>
      </c>
      <c r="F128" s="3" t="s">
        <v>10</v>
      </c>
      <c r="G128" s="3" t="s">
        <v>22</v>
      </c>
      <c r="H128" t="s">
        <v>28</v>
      </c>
      <c r="I128" t="s">
        <v>27</v>
      </c>
    </row>
    <row r="129" spans="1:9" x14ac:dyDescent="0.3">
      <c r="A129" s="3">
        <v>10579</v>
      </c>
      <c r="B129" s="4">
        <v>44897</v>
      </c>
      <c r="C129" t="s">
        <v>17</v>
      </c>
      <c r="D129" s="3">
        <v>4.99</v>
      </c>
      <c r="E129" s="5">
        <v>200.40080160320639</v>
      </c>
      <c r="F129" s="3" t="s">
        <v>10</v>
      </c>
      <c r="G129" s="3" t="s">
        <v>22</v>
      </c>
      <c r="H129" t="s">
        <v>28</v>
      </c>
      <c r="I129" t="s">
        <v>27</v>
      </c>
    </row>
    <row r="130" spans="1:9" x14ac:dyDescent="0.3">
      <c r="A130" s="3">
        <v>10580</v>
      </c>
      <c r="B130" s="4">
        <v>44898</v>
      </c>
      <c r="C130" t="s">
        <v>21</v>
      </c>
      <c r="D130" s="3">
        <v>12.99</v>
      </c>
      <c r="E130" s="5">
        <v>523.47959969207079</v>
      </c>
      <c r="F130" s="3" t="s">
        <v>10</v>
      </c>
      <c r="G130" s="3" t="s">
        <v>22</v>
      </c>
      <c r="H130" t="s">
        <v>28</v>
      </c>
      <c r="I130" t="s">
        <v>27</v>
      </c>
    </row>
    <row r="131" spans="1:9" x14ac:dyDescent="0.3">
      <c r="A131" s="3">
        <v>10581</v>
      </c>
      <c r="B131" s="4">
        <v>44898</v>
      </c>
      <c r="C131" t="s">
        <v>25</v>
      </c>
      <c r="D131" s="3">
        <v>9.9499999999999993</v>
      </c>
      <c r="E131" s="5">
        <v>201.00502512562818</v>
      </c>
      <c r="F131" s="3" t="s">
        <v>10</v>
      </c>
      <c r="G131" s="3" t="s">
        <v>22</v>
      </c>
      <c r="H131" t="s">
        <v>28</v>
      </c>
      <c r="I131" t="s">
        <v>27</v>
      </c>
    </row>
    <row r="132" spans="1:9" x14ac:dyDescent="0.3">
      <c r="A132" s="3">
        <v>10582</v>
      </c>
      <c r="B132" s="4">
        <v>44898</v>
      </c>
      <c r="C132" t="s">
        <v>9</v>
      </c>
      <c r="D132" s="3">
        <v>3.49</v>
      </c>
      <c r="E132" s="5">
        <v>630.3724928366762</v>
      </c>
      <c r="F132" s="3" t="s">
        <v>10</v>
      </c>
      <c r="G132" s="3" t="s">
        <v>22</v>
      </c>
      <c r="H132" t="s">
        <v>38</v>
      </c>
      <c r="I132" t="s">
        <v>13</v>
      </c>
    </row>
    <row r="133" spans="1:9" x14ac:dyDescent="0.3">
      <c r="A133" s="3">
        <v>10583</v>
      </c>
      <c r="B133" s="4">
        <v>44898</v>
      </c>
      <c r="C133" t="s">
        <v>14</v>
      </c>
      <c r="D133" s="3">
        <v>2.95</v>
      </c>
      <c r="E133" s="5">
        <v>677.96610169491521</v>
      </c>
      <c r="F133" s="3" t="s">
        <v>10</v>
      </c>
      <c r="G133" s="3" t="s">
        <v>22</v>
      </c>
      <c r="H133" t="s">
        <v>38</v>
      </c>
      <c r="I133" t="s">
        <v>13</v>
      </c>
    </row>
    <row r="134" spans="1:9" x14ac:dyDescent="0.3">
      <c r="A134" s="3">
        <v>10584</v>
      </c>
      <c r="B134" s="4">
        <v>44898</v>
      </c>
      <c r="C134" t="s">
        <v>17</v>
      </c>
      <c r="D134" s="3">
        <v>4.99</v>
      </c>
      <c r="E134" s="5">
        <v>200.40080160320639</v>
      </c>
      <c r="F134" s="3" t="s">
        <v>10</v>
      </c>
      <c r="G134" s="3" t="s">
        <v>22</v>
      </c>
      <c r="H134" t="s">
        <v>38</v>
      </c>
      <c r="I134" t="s">
        <v>13</v>
      </c>
    </row>
    <row r="135" spans="1:9" x14ac:dyDescent="0.3">
      <c r="A135" s="3">
        <v>10585</v>
      </c>
      <c r="B135" s="4">
        <v>44899</v>
      </c>
      <c r="C135" t="s">
        <v>21</v>
      </c>
      <c r="D135" s="3">
        <v>12.99</v>
      </c>
      <c r="E135" s="5">
        <v>538.87605850654347</v>
      </c>
      <c r="F135" s="3" t="s">
        <v>10</v>
      </c>
      <c r="G135" s="3" t="s">
        <v>22</v>
      </c>
      <c r="H135" t="s">
        <v>38</v>
      </c>
      <c r="I135" t="s">
        <v>13</v>
      </c>
    </row>
    <row r="136" spans="1:9" x14ac:dyDescent="0.3">
      <c r="A136" s="3">
        <v>10586</v>
      </c>
      <c r="B136" s="4">
        <v>44899</v>
      </c>
      <c r="C136" t="s">
        <v>25</v>
      </c>
      <c r="D136" s="3">
        <v>9.9499999999999993</v>
      </c>
      <c r="E136" s="5">
        <v>201.00502512562818</v>
      </c>
      <c r="F136" s="3" t="s">
        <v>10</v>
      </c>
      <c r="G136" s="3" t="s">
        <v>22</v>
      </c>
      <c r="H136" t="s">
        <v>38</v>
      </c>
      <c r="I136" t="s">
        <v>13</v>
      </c>
    </row>
    <row r="137" spans="1:9" x14ac:dyDescent="0.3">
      <c r="A137" s="3">
        <v>10537</v>
      </c>
      <c r="B137" s="4">
        <v>44889</v>
      </c>
      <c r="C137" t="s">
        <v>9</v>
      </c>
      <c r="D137" s="3">
        <v>3.49</v>
      </c>
      <c r="E137" s="5">
        <v>630.3724928366762</v>
      </c>
      <c r="F137" s="3" t="s">
        <v>36</v>
      </c>
      <c r="G137" s="3" t="s">
        <v>22</v>
      </c>
      <c r="H137" t="s">
        <v>31</v>
      </c>
      <c r="I137" t="s">
        <v>16</v>
      </c>
    </row>
    <row r="138" spans="1:9" x14ac:dyDescent="0.3">
      <c r="A138" s="3">
        <v>10538</v>
      </c>
      <c r="B138" s="4">
        <v>44889</v>
      </c>
      <c r="C138" t="s">
        <v>14</v>
      </c>
      <c r="D138" s="3">
        <v>2.95</v>
      </c>
      <c r="E138" s="5">
        <v>745.7627118644067</v>
      </c>
      <c r="F138" s="3" t="s">
        <v>36</v>
      </c>
      <c r="G138" s="3" t="s">
        <v>22</v>
      </c>
      <c r="H138" t="s">
        <v>31</v>
      </c>
      <c r="I138" t="s">
        <v>16</v>
      </c>
    </row>
    <row r="139" spans="1:9" x14ac:dyDescent="0.3">
      <c r="A139" s="3">
        <v>10539</v>
      </c>
      <c r="B139" s="4">
        <v>44889</v>
      </c>
      <c r="C139" t="s">
        <v>17</v>
      </c>
      <c r="D139" s="3">
        <v>4.99</v>
      </c>
      <c r="E139" s="5">
        <v>200.40080160320639</v>
      </c>
      <c r="F139" s="3" t="s">
        <v>36</v>
      </c>
      <c r="G139" s="3" t="s">
        <v>22</v>
      </c>
      <c r="H139" t="s">
        <v>31</v>
      </c>
      <c r="I139" t="s">
        <v>16</v>
      </c>
    </row>
    <row r="140" spans="1:9" x14ac:dyDescent="0.3">
      <c r="A140" s="3">
        <v>10590</v>
      </c>
      <c r="B140" s="4">
        <v>44900</v>
      </c>
      <c r="C140" t="s">
        <v>21</v>
      </c>
      <c r="D140" s="3">
        <v>12.99</v>
      </c>
      <c r="E140" s="5">
        <v>554.27251732101615</v>
      </c>
      <c r="F140" s="3" t="s">
        <v>10</v>
      </c>
      <c r="G140" s="3" t="s">
        <v>22</v>
      </c>
      <c r="H140" t="s">
        <v>38</v>
      </c>
      <c r="I140" t="s">
        <v>13</v>
      </c>
    </row>
    <row r="141" spans="1:9" x14ac:dyDescent="0.3">
      <c r="A141" s="3">
        <v>10591</v>
      </c>
      <c r="B141" s="4">
        <v>44900</v>
      </c>
      <c r="C141" t="s">
        <v>25</v>
      </c>
      <c r="D141" s="3">
        <v>9.9499999999999993</v>
      </c>
      <c r="E141" s="5">
        <v>201.00502512562818</v>
      </c>
      <c r="F141" s="3" t="s">
        <v>10</v>
      </c>
      <c r="G141" s="3" t="s">
        <v>22</v>
      </c>
      <c r="H141" t="s">
        <v>38</v>
      </c>
      <c r="I141" t="s">
        <v>13</v>
      </c>
    </row>
    <row r="142" spans="1:9" x14ac:dyDescent="0.3">
      <c r="A142" s="3">
        <v>10592</v>
      </c>
      <c r="B142" s="4">
        <v>44900</v>
      </c>
      <c r="C142" t="s">
        <v>9</v>
      </c>
      <c r="D142" s="3">
        <v>3.49</v>
      </c>
      <c r="E142" s="5">
        <v>573.06590257879645</v>
      </c>
      <c r="F142" s="3" t="s">
        <v>10</v>
      </c>
      <c r="G142" s="3" t="s">
        <v>22</v>
      </c>
      <c r="H142" t="s">
        <v>38</v>
      </c>
      <c r="I142" t="s">
        <v>13</v>
      </c>
    </row>
    <row r="143" spans="1:9" x14ac:dyDescent="0.3">
      <c r="A143" s="3">
        <v>10593</v>
      </c>
      <c r="B143" s="4">
        <v>44900</v>
      </c>
      <c r="C143" t="s">
        <v>14</v>
      </c>
      <c r="D143" s="3">
        <v>2.95</v>
      </c>
      <c r="E143" s="5">
        <v>677.96610169491521</v>
      </c>
      <c r="F143" s="3" t="s">
        <v>10</v>
      </c>
      <c r="G143" s="3" t="s">
        <v>22</v>
      </c>
      <c r="H143" t="s">
        <v>38</v>
      </c>
      <c r="I143" t="s">
        <v>13</v>
      </c>
    </row>
    <row r="144" spans="1:9" x14ac:dyDescent="0.3">
      <c r="A144" s="3">
        <v>10594</v>
      </c>
      <c r="B144" s="4">
        <v>44900</v>
      </c>
      <c r="C144" t="s">
        <v>17</v>
      </c>
      <c r="D144" s="3">
        <v>4.99</v>
      </c>
      <c r="E144" s="5">
        <v>200.40080160320639</v>
      </c>
      <c r="F144" s="3" t="s">
        <v>10</v>
      </c>
      <c r="G144" s="3" t="s">
        <v>22</v>
      </c>
      <c r="H144" t="s">
        <v>38</v>
      </c>
      <c r="I144" t="s">
        <v>13</v>
      </c>
    </row>
    <row r="145" spans="1:9" x14ac:dyDescent="0.3">
      <c r="A145" s="3">
        <v>10595</v>
      </c>
      <c r="B145" s="4">
        <v>44901</v>
      </c>
      <c r="C145" t="s">
        <v>21</v>
      </c>
      <c r="D145" s="3">
        <v>12.99</v>
      </c>
      <c r="E145" s="5">
        <v>538.87605850654347</v>
      </c>
      <c r="F145" s="3" t="s">
        <v>10</v>
      </c>
      <c r="G145" s="3" t="s">
        <v>22</v>
      </c>
      <c r="H145" t="s">
        <v>38</v>
      </c>
      <c r="I145" t="s">
        <v>13</v>
      </c>
    </row>
    <row r="146" spans="1:9" x14ac:dyDescent="0.3">
      <c r="A146" s="3">
        <v>10596</v>
      </c>
      <c r="B146" s="4">
        <v>44901</v>
      </c>
      <c r="C146" t="s">
        <v>25</v>
      </c>
      <c r="D146" s="3">
        <v>9.9499999999999993</v>
      </c>
      <c r="E146" s="5">
        <v>201.00502512562818</v>
      </c>
      <c r="F146" s="3" t="s">
        <v>10</v>
      </c>
      <c r="G146" s="3" t="s">
        <v>22</v>
      </c>
      <c r="H146" t="s">
        <v>38</v>
      </c>
      <c r="I146" t="s">
        <v>13</v>
      </c>
    </row>
    <row r="147" spans="1:9" x14ac:dyDescent="0.3">
      <c r="A147" s="3">
        <v>10597</v>
      </c>
      <c r="B147" s="4">
        <v>44901</v>
      </c>
      <c r="C147" t="s">
        <v>9</v>
      </c>
      <c r="D147" s="3">
        <v>3.49</v>
      </c>
      <c r="E147" s="5">
        <v>573.06590257879645</v>
      </c>
      <c r="F147" s="3" t="s">
        <v>10</v>
      </c>
      <c r="G147" s="3" t="s">
        <v>22</v>
      </c>
      <c r="H147" t="s">
        <v>38</v>
      </c>
      <c r="I147" t="s">
        <v>13</v>
      </c>
    </row>
    <row r="148" spans="1:9" x14ac:dyDescent="0.3">
      <c r="A148" s="3">
        <v>10598</v>
      </c>
      <c r="B148" s="4">
        <v>44901</v>
      </c>
      <c r="C148" t="s">
        <v>14</v>
      </c>
      <c r="D148" s="3">
        <v>2.95</v>
      </c>
      <c r="E148" s="5">
        <v>677.96610169491521</v>
      </c>
      <c r="F148" s="3" t="s">
        <v>10</v>
      </c>
      <c r="G148" s="3" t="s">
        <v>22</v>
      </c>
      <c r="H148" t="s">
        <v>38</v>
      </c>
      <c r="I148" t="s">
        <v>13</v>
      </c>
    </row>
    <row r="149" spans="1:9" x14ac:dyDescent="0.3">
      <c r="A149" s="3">
        <v>10599</v>
      </c>
      <c r="B149" s="4">
        <v>44901</v>
      </c>
      <c r="C149" t="s">
        <v>17</v>
      </c>
      <c r="D149" s="3">
        <v>4.99</v>
      </c>
      <c r="E149" s="5">
        <v>200.40080160320639</v>
      </c>
      <c r="F149" s="3" t="s">
        <v>10</v>
      </c>
      <c r="G149" s="3" t="s">
        <v>22</v>
      </c>
      <c r="H149" t="s">
        <v>38</v>
      </c>
      <c r="I149" t="s">
        <v>13</v>
      </c>
    </row>
    <row r="150" spans="1:9" x14ac:dyDescent="0.3">
      <c r="A150" s="3">
        <v>10600</v>
      </c>
      <c r="B150" s="4">
        <v>44902</v>
      </c>
      <c r="C150" t="s">
        <v>21</v>
      </c>
      <c r="D150" s="3">
        <v>12.99</v>
      </c>
      <c r="E150" s="5">
        <v>523.47959969207079</v>
      </c>
      <c r="F150" s="3" t="s">
        <v>10</v>
      </c>
      <c r="G150" s="3" t="s">
        <v>22</v>
      </c>
      <c r="H150" t="s">
        <v>38</v>
      </c>
      <c r="I150" t="s">
        <v>13</v>
      </c>
    </row>
    <row r="151" spans="1:9" x14ac:dyDescent="0.3">
      <c r="A151" s="3">
        <v>10601</v>
      </c>
      <c r="B151" s="4">
        <v>44902</v>
      </c>
      <c r="C151" t="s">
        <v>25</v>
      </c>
      <c r="D151" s="3">
        <v>9.9499999999999993</v>
      </c>
      <c r="E151" s="5">
        <v>201.00502512562818</v>
      </c>
      <c r="F151" s="3" t="s">
        <v>10</v>
      </c>
      <c r="G151" s="3" t="s">
        <v>22</v>
      </c>
      <c r="H151" t="s">
        <v>38</v>
      </c>
      <c r="I151" t="s">
        <v>13</v>
      </c>
    </row>
    <row r="152" spans="1:9" x14ac:dyDescent="0.3">
      <c r="A152" s="3">
        <v>10602</v>
      </c>
      <c r="B152" s="4">
        <v>44902</v>
      </c>
      <c r="C152" t="s">
        <v>9</v>
      </c>
      <c r="D152" s="3">
        <v>3.49</v>
      </c>
      <c r="E152" s="5">
        <v>630.3724928366762</v>
      </c>
      <c r="F152" s="3" t="s">
        <v>10</v>
      </c>
      <c r="G152" s="3" t="s">
        <v>37</v>
      </c>
      <c r="H152" t="s">
        <v>38</v>
      </c>
      <c r="I152" t="s">
        <v>13</v>
      </c>
    </row>
    <row r="153" spans="1:9" x14ac:dyDescent="0.3">
      <c r="A153" s="3">
        <v>10603</v>
      </c>
      <c r="B153" s="4">
        <v>44902</v>
      </c>
      <c r="C153" t="s">
        <v>14</v>
      </c>
      <c r="D153" s="3">
        <v>2.95</v>
      </c>
      <c r="E153" s="5">
        <v>677.96610169491521</v>
      </c>
      <c r="F153" s="3" t="s">
        <v>10</v>
      </c>
      <c r="G153" s="3" t="s">
        <v>37</v>
      </c>
      <c r="H153" t="s">
        <v>38</v>
      </c>
      <c r="I153" t="s">
        <v>13</v>
      </c>
    </row>
    <row r="154" spans="1:9" x14ac:dyDescent="0.3">
      <c r="A154" s="3">
        <v>10604</v>
      </c>
      <c r="B154" s="4">
        <v>44902</v>
      </c>
      <c r="C154" t="s">
        <v>17</v>
      </c>
      <c r="D154" s="3">
        <v>4.99</v>
      </c>
      <c r="E154" s="5">
        <v>200.40080160320639</v>
      </c>
      <c r="F154" s="3" t="s">
        <v>10</v>
      </c>
      <c r="G154" s="3" t="s">
        <v>37</v>
      </c>
      <c r="H154" t="s">
        <v>38</v>
      </c>
      <c r="I154" t="s">
        <v>13</v>
      </c>
    </row>
    <row r="155" spans="1:9" x14ac:dyDescent="0.3">
      <c r="A155" s="3">
        <v>10605</v>
      </c>
      <c r="B155" s="4">
        <v>44903</v>
      </c>
      <c r="C155" t="s">
        <v>21</v>
      </c>
      <c r="D155" s="3">
        <v>12.99</v>
      </c>
      <c r="E155" s="5">
        <v>538.87605850654347</v>
      </c>
      <c r="F155" s="3" t="s">
        <v>10</v>
      </c>
      <c r="G155" s="3" t="s">
        <v>37</v>
      </c>
      <c r="H155" t="s">
        <v>38</v>
      </c>
      <c r="I155" t="s">
        <v>13</v>
      </c>
    </row>
    <row r="156" spans="1:9" x14ac:dyDescent="0.3">
      <c r="A156" s="3">
        <v>10606</v>
      </c>
      <c r="B156" s="4">
        <v>44903</v>
      </c>
      <c r="C156" t="s">
        <v>25</v>
      </c>
      <c r="D156" s="3">
        <v>9.9499999999999993</v>
      </c>
      <c r="E156" s="5">
        <v>201.00502512562818</v>
      </c>
      <c r="F156" s="3" t="s">
        <v>10</v>
      </c>
      <c r="G156" s="3" t="s">
        <v>37</v>
      </c>
      <c r="H156" t="s">
        <v>38</v>
      </c>
      <c r="I156" t="s">
        <v>13</v>
      </c>
    </row>
    <row r="157" spans="1:9" x14ac:dyDescent="0.3">
      <c r="A157" s="3">
        <v>10607</v>
      </c>
      <c r="B157" s="4">
        <v>44903</v>
      </c>
      <c r="C157" t="s">
        <v>9</v>
      </c>
      <c r="D157" s="3">
        <v>3.49</v>
      </c>
      <c r="E157" s="5">
        <v>630.3724928366762</v>
      </c>
      <c r="F157" s="3" t="s">
        <v>10</v>
      </c>
      <c r="G157" s="3" t="s">
        <v>37</v>
      </c>
      <c r="H157" t="s">
        <v>38</v>
      </c>
      <c r="I157" t="s">
        <v>13</v>
      </c>
    </row>
    <row r="158" spans="1:9" x14ac:dyDescent="0.3">
      <c r="A158" s="3">
        <v>10608</v>
      </c>
      <c r="B158" s="4">
        <v>44903</v>
      </c>
      <c r="C158" t="s">
        <v>14</v>
      </c>
      <c r="D158" s="3">
        <v>2.95</v>
      </c>
      <c r="E158" s="5">
        <v>677.96610169491521</v>
      </c>
      <c r="F158" s="3" t="s">
        <v>10</v>
      </c>
      <c r="G158" s="3" t="s">
        <v>11</v>
      </c>
      <c r="H158" t="s">
        <v>38</v>
      </c>
      <c r="I158" t="s">
        <v>13</v>
      </c>
    </row>
    <row r="159" spans="1:9" x14ac:dyDescent="0.3">
      <c r="A159" s="3">
        <v>10609</v>
      </c>
      <c r="B159" s="4">
        <v>44903</v>
      </c>
      <c r="C159" t="s">
        <v>17</v>
      </c>
      <c r="D159" s="3">
        <v>4.99</v>
      </c>
      <c r="E159" s="5">
        <v>200.40080160320639</v>
      </c>
      <c r="F159" s="3" t="s">
        <v>10</v>
      </c>
      <c r="G159" s="3" t="s">
        <v>11</v>
      </c>
      <c r="H159" t="s">
        <v>38</v>
      </c>
      <c r="I159" t="s">
        <v>13</v>
      </c>
    </row>
    <row r="160" spans="1:9" x14ac:dyDescent="0.3">
      <c r="A160" s="3">
        <v>10610</v>
      </c>
      <c r="B160" s="4">
        <v>44904</v>
      </c>
      <c r="C160" t="s">
        <v>21</v>
      </c>
      <c r="D160" s="3">
        <v>12.99</v>
      </c>
      <c r="E160" s="5">
        <v>569.66897613548883</v>
      </c>
      <c r="F160" s="3" t="s">
        <v>10</v>
      </c>
      <c r="G160" s="3" t="s">
        <v>11</v>
      </c>
      <c r="H160" t="s">
        <v>38</v>
      </c>
      <c r="I160" t="s">
        <v>13</v>
      </c>
    </row>
    <row r="161" spans="1:9" x14ac:dyDescent="0.3">
      <c r="A161" s="3">
        <v>10611</v>
      </c>
      <c r="B161" s="4">
        <v>44904</v>
      </c>
      <c r="C161" t="s">
        <v>25</v>
      </c>
      <c r="D161" s="3">
        <v>9.9499999999999993</v>
      </c>
      <c r="E161" s="5">
        <v>201.00502512562818</v>
      </c>
      <c r="F161" s="3" t="s">
        <v>10</v>
      </c>
      <c r="G161" s="3" t="s">
        <v>11</v>
      </c>
      <c r="H161" t="s">
        <v>38</v>
      </c>
      <c r="I161" t="s">
        <v>13</v>
      </c>
    </row>
    <row r="162" spans="1:9" x14ac:dyDescent="0.3">
      <c r="A162" s="3">
        <v>10612</v>
      </c>
      <c r="B162" s="4">
        <v>44904</v>
      </c>
      <c r="C162" t="s">
        <v>9</v>
      </c>
      <c r="D162" s="3">
        <v>3.49</v>
      </c>
      <c r="E162" s="5">
        <v>630.3724928366762</v>
      </c>
      <c r="F162" s="3" t="s">
        <v>10</v>
      </c>
      <c r="G162" s="3" t="s">
        <v>11</v>
      </c>
      <c r="H162" t="s">
        <v>38</v>
      </c>
      <c r="I162" t="s">
        <v>13</v>
      </c>
    </row>
    <row r="163" spans="1:9" x14ac:dyDescent="0.3">
      <c r="A163" s="3">
        <v>10613</v>
      </c>
      <c r="B163" s="4">
        <v>44904</v>
      </c>
      <c r="C163" t="s">
        <v>14</v>
      </c>
      <c r="D163" s="3">
        <v>2.95</v>
      </c>
      <c r="E163" s="5">
        <v>677.96610169491521</v>
      </c>
      <c r="F163" s="3" t="s">
        <v>10</v>
      </c>
      <c r="G163" s="3" t="s">
        <v>11</v>
      </c>
      <c r="H163" t="s">
        <v>38</v>
      </c>
      <c r="I163" t="s">
        <v>13</v>
      </c>
    </row>
    <row r="164" spans="1:9" x14ac:dyDescent="0.3">
      <c r="A164" s="3">
        <v>10614</v>
      </c>
      <c r="B164" s="4">
        <v>44904</v>
      </c>
      <c r="C164" t="s">
        <v>17</v>
      </c>
      <c r="D164" s="3">
        <v>4.99</v>
      </c>
      <c r="E164" s="5">
        <v>200.40080160320639</v>
      </c>
      <c r="F164" s="3" t="s">
        <v>10</v>
      </c>
      <c r="G164" s="3" t="s">
        <v>11</v>
      </c>
      <c r="H164" t="s">
        <v>38</v>
      </c>
      <c r="I164" t="s">
        <v>13</v>
      </c>
    </row>
    <row r="165" spans="1:9" x14ac:dyDescent="0.3">
      <c r="A165" s="3">
        <v>10615</v>
      </c>
      <c r="B165" s="4">
        <v>44905</v>
      </c>
      <c r="C165" t="s">
        <v>21</v>
      </c>
      <c r="D165" s="3">
        <v>12.99</v>
      </c>
      <c r="E165" s="5">
        <v>569.66897613548883</v>
      </c>
      <c r="F165" s="3" t="s">
        <v>10</v>
      </c>
      <c r="G165" s="3" t="s">
        <v>11</v>
      </c>
      <c r="H165" t="s">
        <v>38</v>
      </c>
      <c r="I165" t="s">
        <v>13</v>
      </c>
    </row>
    <row r="166" spans="1:9" x14ac:dyDescent="0.3">
      <c r="A166" s="3">
        <v>10616</v>
      </c>
      <c r="B166" s="4">
        <v>44905</v>
      </c>
      <c r="C166" t="s">
        <v>25</v>
      </c>
      <c r="D166" s="3">
        <v>9.9499999999999993</v>
      </c>
      <c r="E166" s="5">
        <v>201.00502512562818</v>
      </c>
      <c r="F166" s="3" t="s">
        <v>10</v>
      </c>
      <c r="G166" s="3" t="s">
        <v>11</v>
      </c>
      <c r="H166" t="s">
        <v>38</v>
      </c>
      <c r="I166" t="s">
        <v>13</v>
      </c>
    </row>
    <row r="167" spans="1:9" x14ac:dyDescent="0.3">
      <c r="A167" s="3">
        <v>10617</v>
      </c>
      <c r="B167" s="4">
        <v>44905</v>
      </c>
      <c r="C167" t="s">
        <v>9</v>
      </c>
      <c r="D167" s="3">
        <v>3.49</v>
      </c>
      <c r="E167" s="5">
        <v>630.3724928366762</v>
      </c>
      <c r="F167" s="3" t="s">
        <v>10</v>
      </c>
      <c r="G167" s="3" t="s">
        <v>11</v>
      </c>
      <c r="H167" t="s">
        <v>38</v>
      </c>
      <c r="I167" t="s">
        <v>13</v>
      </c>
    </row>
    <row r="168" spans="1:9" x14ac:dyDescent="0.3">
      <c r="A168" s="3">
        <v>10618</v>
      </c>
      <c r="B168" s="4">
        <v>44905</v>
      </c>
      <c r="C168" t="s">
        <v>14</v>
      </c>
      <c r="D168" s="3">
        <v>2.95</v>
      </c>
      <c r="E168" s="5">
        <v>677.96610169491521</v>
      </c>
      <c r="F168" s="3" t="s">
        <v>10</v>
      </c>
      <c r="G168" s="3" t="s">
        <v>11</v>
      </c>
      <c r="H168" t="s">
        <v>38</v>
      </c>
      <c r="I168" t="s">
        <v>13</v>
      </c>
    </row>
    <row r="169" spans="1:9" x14ac:dyDescent="0.3">
      <c r="A169" s="3">
        <v>10619</v>
      </c>
      <c r="B169" s="4">
        <v>44905</v>
      </c>
      <c r="C169" t="s">
        <v>17</v>
      </c>
      <c r="D169" s="3">
        <v>4.99</v>
      </c>
      <c r="E169" s="5">
        <v>200.40080160320639</v>
      </c>
      <c r="F169" s="3" t="s">
        <v>10</v>
      </c>
      <c r="G169" s="3" t="s">
        <v>11</v>
      </c>
      <c r="H169" t="s">
        <v>38</v>
      </c>
      <c r="I169" t="s">
        <v>13</v>
      </c>
    </row>
    <row r="170" spans="1:9" x14ac:dyDescent="0.3">
      <c r="A170" s="3">
        <v>10620</v>
      </c>
      <c r="B170" s="4">
        <v>44906</v>
      </c>
      <c r="C170" t="s">
        <v>21</v>
      </c>
      <c r="D170" s="3">
        <v>12.99</v>
      </c>
      <c r="E170" s="5">
        <v>585.06543494996151</v>
      </c>
      <c r="F170" s="3" t="s">
        <v>10</v>
      </c>
      <c r="G170" s="3" t="s">
        <v>11</v>
      </c>
      <c r="H170" t="s">
        <v>38</v>
      </c>
      <c r="I170" t="s">
        <v>13</v>
      </c>
    </row>
    <row r="171" spans="1:9" x14ac:dyDescent="0.3">
      <c r="A171" s="3">
        <v>10621</v>
      </c>
      <c r="B171" s="4">
        <v>44906</v>
      </c>
      <c r="C171" t="s">
        <v>25</v>
      </c>
      <c r="D171" s="3">
        <v>9.9499999999999993</v>
      </c>
      <c r="E171" s="5">
        <v>201.00502512562818</v>
      </c>
      <c r="F171" s="3" t="s">
        <v>10</v>
      </c>
      <c r="G171" s="3" t="s">
        <v>11</v>
      </c>
      <c r="H171" t="s">
        <v>38</v>
      </c>
      <c r="I171" t="s">
        <v>13</v>
      </c>
    </row>
    <row r="172" spans="1:9" x14ac:dyDescent="0.3">
      <c r="A172" s="3">
        <v>10622</v>
      </c>
      <c r="B172" s="4">
        <v>44906</v>
      </c>
      <c r="C172" t="s">
        <v>9</v>
      </c>
      <c r="D172" s="3">
        <v>3.49</v>
      </c>
      <c r="E172" s="5">
        <v>630.3724928366762</v>
      </c>
      <c r="F172" s="3" t="s">
        <v>10</v>
      </c>
      <c r="G172" s="3" t="s">
        <v>11</v>
      </c>
      <c r="H172" t="s">
        <v>38</v>
      </c>
      <c r="I172" t="s">
        <v>13</v>
      </c>
    </row>
    <row r="173" spans="1:9" x14ac:dyDescent="0.3">
      <c r="A173" s="3">
        <v>10623</v>
      </c>
      <c r="B173" s="4">
        <v>44906</v>
      </c>
      <c r="C173" t="s">
        <v>14</v>
      </c>
      <c r="D173" s="3">
        <v>2.95</v>
      </c>
      <c r="E173" s="5">
        <v>745.7627118644067</v>
      </c>
      <c r="F173" s="3" t="s">
        <v>10</v>
      </c>
      <c r="G173" s="3" t="s">
        <v>11</v>
      </c>
      <c r="H173" t="s">
        <v>38</v>
      </c>
      <c r="I173" t="s">
        <v>13</v>
      </c>
    </row>
    <row r="174" spans="1:9" x14ac:dyDescent="0.3">
      <c r="A174" s="3">
        <v>10624</v>
      </c>
      <c r="B174" s="4">
        <v>44906</v>
      </c>
      <c r="C174" t="s">
        <v>17</v>
      </c>
      <c r="D174" s="3">
        <v>4.99</v>
      </c>
      <c r="E174" s="5">
        <v>200.40080160320639</v>
      </c>
      <c r="F174" s="3" t="s">
        <v>10</v>
      </c>
      <c r="G174" s="3" t="s">
        <v>11</v>
      </c>
      <c r="H174" t="s">
        <v>38</v>
      </c>
      <c r="I174" t="s">
        <v>13</v>
      </c>
    </row>
    <row r="175" spans="1:9" x14ac:dyDescent="0.3">
      <c r="A175" s="3">
        <v>10625</v>
      </c>
      <c r="B175" s="4">
        <v>44907</v>
      </c>
      <c r="C175" t="s">
        <v>21</v>
      </c>
      <c r="D175" s="3">
        <v>12.99</v>
      </c>
      <c r="E175" s="5">
        <v>569.66897613548883</v>
      </c>
      <c r="F175" s="3" t="s">
        <v>10</v>
      </c>
      <c r="G175" s="3" t="s">
        <v>11</v>
      </c>
      <c r="H175" t="s">
        <v>38</v>
      </c>
      <c r="I175" t="s">
        <v>13</v>
      </c>
    </row>
    <row r="176" spans="1:9" x14ac:dyDescent="0.3">
      <c r="A176" s="3">
        <v>10626</v>
      </c>
      <c r="B176" s="4">
        <v>44907</v>
      </c>
      <c r="C176" t="s">
        <v>25</v>
      </c>
      <c r="D176" s="3">
        <v>9.9499999999999993</v>
      </c>
      <c r="E176" s="5">
        <v>201.00502512562818</v>
      </c>
      <c r="F176" s="3" t="s">
        <v>10</v>
      </c>
      <c r="G176" s="3" t="s">
        <v>11</v>
      </c>
      <c r="H176" t="s">
        <v>38</v>
      </c>
      <c r="I176" t="s">
        <v>13</v>
      </c>
    </row>
    <row r="177" spans="1:9" x14ac:dyDescent="0.3">
      <c r="A177" s="3">
        <v>10627</v>
      </c>
      <c r="B177" s="4">
        <v>44907</v>
      </c>
      <c r="C177" t="s">
        <v>9</v>
      </c>
      <c r="D177" s="3">
        <v>3.49</v>
      </c>
      <c r="E177" s="5">
        <v>630.3724928366762</v>
      </c>
      <c r="F177" s="3" t="s">
        <v>10</v>
      </c>
      <c r="G177" s="3" t="s">
        <v>11</v>
      </c>
      <c r="H177" t="s">
        <v>38</v>
      </c>
      <c r="I177" t="s">
        <v>13</v>
      </c>
    </row>
    <row r="178" spans="1:9" x14ac:dyDescent="0.3">
      <c r="A178" s="3">
        <v>10628</v>
      </c>
      <c r="B178" s="4">
        <v>44907</v>
      </c>
      <c r="C178" t="s">
        <v>14</v>
      </c>
      <c r="D178" s="3">
        <v>2.95</v>
      </c>
      <c r="E178" s="5">
        <v>677.96610169491521</v>
      </c>
      <c r="F178" s="3" t="s">
        <v>10</v>
      </c>
      <c r="G178" s="3" t="s">
        <v>11</v>
      </c>
      <c r="H178" s="6" t="s">
        <v>35</v>
      </c>
      <c r="I178" t="s">
        <v>20</v>
      </c>
    </row>
    <row r="179" spans="1:9" x14ac:dyDescent="0.3">
      <c r="A179" s="3">
        <v>10629</v>
      </c>
      <c r="B179" s="4">
        <v>44907</v>
      </c>
      <c r="C179" t="s">
        <v>17</v>
      </c>
      <c r="D179" s="3">
        <v>4.99</v>
      </c>
      <c r="E179" s="5">
        <v>200.40080160320639</v>
      </c>
      <c r="F179" s="3" t="s">
        <v>10</v>
      </c>
      <c r="G179" s="3" t="s">
        <v>11</v>
      </c>
      <c r="H179" s="6" t="s">
        <v>35</v>
      </c>
      <c r="I179" t="s">
        <v>20</v>
      </c>
    </row>
    <row r="180" spans="1:9" x14ac:dyDescent="0.3">
      <c r="A180" s="3">
        <v>10630</v>
      </c>
      <c r="B180" s="4">
        <v>44908</v>
      </c>
      <c r="C180" t="s">
        <v>21</v>
      </c>
      <c r="D180" s="3">
        <v>12.99</v>
      </c>
      <c r="E180" s="5">
        <v>569.66897613548883</v>
      </c>
      <c r="F180" s="3" t="s">
        <v>10</v>
      </c>
      <c r="G180" s="3" t="s">
        <v>37</v>
      </c>
      <c r="H180" s="6" t="s">
        <v>35</v>
      </c>
      <c r="I180" t="s">
        <v>20</v>
      </c>
    </row>
    <row r="181" spans="1:9" x14ac:dyDescent="0.3">
      <c r="A181" s="3">
        <v>10631</v>
      </c>
      <c r="B181" s="4">
        <v>44908</v>
      </c>
      <c r="C181" t="s">
        <v>25</v>
      </c>
      <c r="D181" s="3">
        <v>9.9499999999999993</v>
      </c>
      <c r="E181" s="5">
        <v>201.00502512562818</v>
      </c>
      <c r="F181" s="3" t="s">
        <v>10</v>
      </c>
      <c r="G181" s="3" t="s">
        <v>11</v>
      </c>
      <c r="H181" s="6" t="s">
        <v>35</v>
      </c>
      <c r="I181" t="s">
        <v>20</v>
      </c>
    </row>
    <row r="182" spans="1:9" x14ac:dyDescent="0.3">
      <c r="A182" s="3">
        <v>10632</v>
      </c>
      <c r="B182" s="4">
        <v>44908</v>
      </c>
      <c r="C182" t="s">
        <v>9</v>
      </c>
      <c r="D182" s="3">
        <v>3.49</v>
      </c>
      <c r="E182" s="5">
        <v>630.3724928366762</v>
      </c>
      <c r="F182" s="3" t="s">
        <v>10</v>
      </c>
      <c r="G182" s="3" t="s">
        <v>11</v>
      </c>
      <c r="H182" s="6" t="s">
        <v>35</v>
      </c>
      <c r="I182" t="s">
        <v>20</v>
      </c>
    </row>
    <row r="183" spans="1:9" x14ac:dyDescent="0.3">
      <c r="A183" s="3">
        <v>10633</v>
      </c>
      <c r="B183" s="4">
        <v>44908</v>
      </c>
      <c r="C183" t="s">
        <v>14</v>
      </c>
      <c r="D183" s="3">
        <v>2.95</v>
      </c>
      <c r="E183" s="5">
        <v>677.96610169491521</v>
      </c>
      <c r="F183" s="3" t="s">
        <v>10</v>
      </c>
      <c r="G183" s="3" t="s">
        <v>11</v>
      </c>
      <c r="H183" s="6" t="s">
        <v>35</v>
      </c>
      <c r="I183" t="s">
        <v>20</v>
      </c>
    </row>
    <row r="184" spans="1:9" x14ac:dyDescent="0.3">
      <c r="A184" s="3">
        <v>10634</v>
      </c>
      <c r="B184" s="4">
        <v>44908</v>
      </c>
      <c r="C184" t="s">
        <v>17</v>
      </c>
      <c r="D184" s="3">
        <v>4.99</v>
      </c>
      <c r="E184" s="5">
        <v>200.40080160320639</v>
      </c>
      <c r="F184" s="3" t="s">
        <v>10</v>
      </c>
      <c r="G184" s="3" t="s">
        <v>11</v>
      </c>
      <c r="H184" s="6" t="s">
        <v>35</v>
      </c>
      <c r="I184" t="s">
        <v>20</v>
      </c>
    </row>
    <row r="185" spans="1:9" x14ac:dyDescent="0.3">
      <c r="A185" s="3">
        <v>10635</v>
      </c>
      <c r="B185" s="4">
        <v>44909</v>
      </c>
      <c r="C185" t="s">
        <v>21</v>
      </c>
      <c r="D185" s="3">
        <v>12.99</v>
      </c>
      <c r="E185" s="5">
        <v>554.27251732101615</v>
      </c>
      <c r="F185" s="3" t="s">
        <v>10</v>
      </c>
      <c r="G185" s="3" t="s">
        <v>11</v>
      </c>
      <c r="H185" s="6" t="s">
        <v>35</v>
      </c>
      <c r="I185" t="s">
        <v>20</v>
      </c>
    </row>
    <row r="186" spans="1:9" x14ac:dyDescent="0.3">
      <c r="A186" s="3">
        <v>10636</v>
      </c>
      <c r="B186" s="4">
        <v>44909</v>
      </c>
      <c r="C186" t="s">
        <v>25</v>
      </c>
      <c r="D186" s="3">
        <v>9.9499999999999993</v>
      </c>
      <c r="E186" s="5">
        <v>221.10552763819098</v>
      </c>
      <c r="F186" s="3" t="s">
        <v>10</v>
      </c>
      <c r="G186" s="3" t="s">
        <v>11</v>
      </c>
      <c r="H186" s="6" t="s">
        <v>35</v>
      </c>
      <c r="I186" t="s">
        <v>20</v>
      </c>
    </row>
    <row r="187" spans="1:9" x14ac:dyDescent="0.3">
      <c r="A187" s="3">
        <v>10637</v>
      </c>
      <c r="B187" s="4">
        <v>44909</v>
      </c>
      <c r="C187" t="s">
        <v>9</v>
      </c>
      <c r="D187" s="3">
        <v>3.49</v>
      </c>
      <c r="E187" s="5">
        <v>630.3724928366762</v>
      </c>
      <c r="F187" s="3" t="s">
        <v>10</v>
      </c>
      <c r="G187" s="3" t="s">
        <v>11</v>
      </c>
      <c r="H187" s="6" t="s">
        <v>35</v>
      </c>
      <c r="I187" t="s">
        <v>20</v>
      </c>
    </row>
    <row r="188" spans="1:9" x14ac:dyDescent="0.3">
      <c r="A188" s="3">
        <v>10638</v>
      </c>
      <c r="B188" s="4">
        <v>44909</v>
      </c>
      <c r="C188" t="s">
        <v>14</v>
      </c>
      <c r="D188" s="3">
        <v>2.95</v>
      </c>
      <c r="E188" s="5">
        <v>677.96610169491521</v>
      </c>
      <c r="F188" s="3" t="s">
        <v>10</v>
      </c>
      <c r="G188" s="3" t="s">
        <v>11</v>
      </c>
      <c r="H188" s="6" t="s">
        <v>35</v>
      </c>
      <c r="I188" t="s">
        <v>20</v>
      </c>
    </row>
    <row r="189" spans="1:9" x14ac:dyDescent="0.3">
      <c r="A189" s="3">
        <v>10639</v>
      </c>
      <c r="B189" s="4">
        <v>44909</v>
      </c>
      <c r="C189" t="s">
        <v>17</v>
      </c>
      <c r="D189" s="3">
        <v>4.99</v>
      </c>
      <c r="E189" s="5">
        <v>200.40080160320639</v>
      </c>
      <c r="F189" s="3" t="s">
        <v>10</v>
      </c>
      <c r="G189" s="3" t="s">
        <v>11</v>
      </c>
      <c r="H189" s="6" t="s">
        <v>35</v>
      </c>
      <c r="I189" t="s">
        <v>20</v>
      </c>
    </row>
    <row r="190" spans="1:9" x14ac:dyDescent="0.3">
      <c r="A190" s="3">
        <v>10640</v>
      </c>
      <c r="B190" s="4">
        <v>44910</v>
      </c>
      <c r="C190" t="s">
        <v>21</v>
      </c>
      <c r="D190" s="3">
        <v>12.99</v>
      </c>
      <c r="E190" s="5">
        <v>538.87605850654347</v>
      </c>
      <c r="F190" s="3" t="s">
        <v>10</v>
      </c>
      <c r="G190" s="3" t="s">
        <v>11</v>
      </c>
      <c r="H190" s="6" t="s">
        <v>35</v>
      </c>
      <c r="I190" t="s">
        <v>20</v>
      </c>
    </row>
    <row r="191" spans="1:9" x14ac:dyDescent="0.3">
      <c r="A191" s="3">
        <v>10641</v>
      </c>
      <c r="B191" s="4">
        <v>44910</v>
      </c>
      <c r="C191" t="s">
        <v>25</v>
      </c>
      <c r="D191" s="3">
        <v>9.9499999999999993</v>
      </c>
      <c r="E191" s="5">
        <v>221.10552763819098</v>
      </c>
      <c r="F191" s="3" t="s">
        <v>10</v>
      </c>
      <c r="G191" s="3" t="s">
        <v>11</v>
      </c>
      <c r="H191" s="6" t="s">
        <v>35</v>
      </c>
      <c r="I191" t="s">
        <v>20</v>
      </c>
    </row>
    <row r="192" spans="1:9" x14ac:dyDescent="0.3">
      <c r="A192" s="3">
        <v>10642</v>
      </c>
      <c r="B192" s="4">
        <v>44910</v>
      </c>
      <c r="C192" t="s">
        <v>9</v>
      </c>
      <c r="D192" s="3">
        <v>3.49</v>
      </c>
      <c r="E192" s="5">
        <v>630.3724928366762</v>
      </c>
      <c r="F192" s="3" t="s">
        <v>10</v>
      </c>
      <c r="G192" s="3" t="s">
        <v>37</v>
      </c>
      <c r="H192" s="6" t="s">
        <v>35</v>
      </c>
      <c r="I192" t="s">
        <v>20</v>
      </c>
    </row>
    <row r="193" spans="1:9" x14ac:dyDescent="0.3">
      <c r="A193" s="3">
        <v>10643</v>
      </c>
      <c r="B193" s="4">
        <v>44910</v>
      </c>
      <c r="C193" t="s">
        <v>14</v>
      </c>
      <c r="D193" s="3">
        <v>2.95</v>
      </c>
      <c r="E193" s="5">
        <v>677.96610169491521</v>
      </c>
      <c r="F193" s="3" t="s">
        <v>10</v>
      </c>
      <c r="G193" s="3" t="s">
        <v>37</v>
      </c>
      <c r="H193" s="6" t="s">
        <v>35</v>
      </c>
      <c r="I193" t="s">
        <v>20</v>
      </c>
    </row>
    <row r="194" spans="1:9" x14ac:dyDescent="0.3">
      <c r="A194" s="3">
        <v>10644</v>
      </c>
      <c r="B194" s="4">
        <v>44910</v>
      </c>
      <c r="C194" t="s">
        <v>17</v>
      </c>
      <c r="D194" s="3">
        <v>4.99</v>
      </c>
      <c r="E194" s="5">
        <v>200.40080160320639</v>
      </c>
      <c r="F194" s="3" t="s">
        <v>10</v>
      </c>
      <c r="G194" s="3" t="s">
        <v>37</v>
      </c>
      <c r="H194" s="6" t="s">
        <v>35</v>
      </c>
      <c r="I194" t="s">
        <v>20</v>
      </c>
    </row>
    <row r="195" spans="1:9" x14ac:dyDescent="0.3">
      <c r="A195" s="3">
        <v>10645</v>
      </c>
      <c r="B195" s="4">
        <v>44911</v>
      </c>
      <c r="C195" t="s">
        <v>21</v>
      </c>
      <c r="D195" s="3">
        <v>12.99</v>
      </c>
      <c r="E195" s="5">
        <v>569.66897613548883</v>
      </c>
      <c r="F195" s="3" t="s">
        <v>10</v>
      </c>
      <c r="G195" s="3" t="s">
        <v>37</v>
      </c>
      <c r="H195" s="6" t="s">
        <v>35</v>
      </c>
      <c r="I195" t="s">
        <v>20</v>
      </c>
    </row>
    <row r="196" spans="1:9" x14ac:dyDescent="0.3">
      <c r="A196" s="3">
        <v>10646</v>
      </c>
      <c r="B196" s="4">
        <v>44911</v>
      </c>
      <c r="C196" t="s">
        <v>25</v>
      </c>
      <c r="D196" s="3">
        <v>9.9499999999999993</v>
      </c>
      <c r="E196" s="5">
        <v>221.10552763819098</v>
      </c>
      <c r="F196" s="3" t="s">
        <v>10</v>
      </c>
      <c r="G196" s="3" t="s">
        <v>37</v>
      </c>
      <c r="H196" s="6" t="s">
        <v>35</v>
      </c>
      <c r="I196" t="s">
        <v>20</v>
      </c>
    </row>
    <row r="197" spans="1:9" x14ac:dyDescent="0.3">
      <c r="A197" s="3">
        <v>10647</v>
      </c>
      <c r="B197" s="4">
        <v>44911</v>
      </c>
      <c r="C197" t="s">
        <v>9</v>
      </c>
      <c r="D197" s="3">
        <v>3.49</v>
      </c>
      <c r="E197" s="5">
        <v>630.3724928366762</v>
      </c>
      <c r="F197" s="3" t="s">
        <v>10</v>
      </c>
      <c r="G197" s="3" t="s">
        <v>11</v>
      </c>
      <c r="H197" s="6" t="s">
        <v>35</v>
      </c>
      <c r="I197" t="s">
        <v>20</v>
      </c>
    </row>
    <row r="198" spans="1:9" x14ac:dyDescent="0.3">
      <c r="A198" s="3">
        <v>10648</v>
      </c>
      <c r="B198" s="4">
        <v>44911</v>
      </c>
      <c r="C198" t="s">
        <v>14</v>
      </c>
      <c r="D198" s="3">
        <v>2.95</v>
      </c>
      <c r="E198" s="5">
        <v>745.7627118644067</v>
      </c>
      <c r="F198" s="3" t="s">
        <v>10</v>
      </c>
      <c r="G198" s="3" t="s">
        <v>11</v>
      </c>
      <c r="H198" s="6" t="s">
        <v>35</v>
      </c>
      <c r="I198" t="s">
        <v>20</v>
      </c>
    </row>
    <row r="199" spans="1:9" x14ac:dyDescent="0.3">
      <c r="A199" s="3">
        <v>10649</v>
      </c>
      <c r="B199" s="4">
        <v>44911</v>
      </c>
      <c r="C199" t="s">
        <v>17</v>
      </c>
      <c r="D199" s="3">
        <v>4.99</v>
      </c>
      <c r="E199" s="5">
        <v>200.40080160320639</v>
      </c>
      <c r="F199" s="3" t="s">
        <v>10</v>
      </c>
      <c r="G199" s="3" t="s">
        <v>11</v>
      </c>
      <c r="H199" s="6" t="s">
        <v>35</v>
      </c>
      <c r="I199" t="s">
        <v>20</v>
      </c>
    </row>
    <row r="200" spans="1:9" x14ac:dyDescent="0.3">
      <c r="A200" s="3">
        <v>10650</v>
      </c>
      <c r="B200" s="4">
        <v>44912</v>
      </c>
      <c r="C200" t="s">
        <v>21</v>
      </c>
      <c r="D200" s="3">
        <v>12.99</v>
      </c>
      <c r="E200" s="5">
        <v>585.06543494996151</v>
      </c>
      <c r="F200" s="3" t="s">
        <v>10</v>
      </c>
      <c r="G200" s="3" t="s">
        <v>11</v>
      </c>
      <c r="H200" s="6" t="s">
        <v>35</v>
      </c>
      <c r="I200" t="s">
        <v>20</v>
      </c>
    </row>
    <row r="201" spans="1:9" x14ac:dyDescent="0.3">
      <c r="A201" s="3">
        <v>10651</v>
      </c>
      <c r="B201" s="4">
        <v>44912</v>
      </c>
      <c r="C201" t="s">
        <v>25</v>
      </c>
      <c r="D201" s="3">
        <v>9.9499999999999993</v>
      </c>
      <c r="E201" s="5">
        <v>221.10552763819098</v>
      </c>
      <c r="F201" s="3" t="s">
        <v>10</v>
      </c>
      <c r="G201" s="3" t="s">
        <v>11</v>
      </c>
      <c r="H201" s="6" t="s">
        <v>35</v>
      </c>
      <c r="I201" t="s">
        <v>20</v>
      </c>
    </row>
    <row r="202" spans="1:9" x14ac:dyDescent="0.3">
      <c r="A202" s="3">
        <v>10652</v>
      </c>
      <c r="B202" s="4">
        <v>44912</v>
      </c>
      <c r="C202" t="s">
        <v>9</v>
      </c>
      <c r="D202" s="3">
        <v>3.49</v>
      </c>
      <c r="E202" s="5">
        <v>687.67908309455584</v>
      </c>
      <c r="F202" s="3" t="s">
        <v>10</v>
      </c>
      <c r="G202" s="3" t="s">
        <v>11</v>
      </c>
      <c r="H202" s="6" t="s">
        <v>35</v>
      </c>
      <c r="I202" t="s">
        <v>20</v>
      </c>
    </row>
    <row r="203" spans="1:9" x14ac:dyDescent="0.3">
      <c r="A203" s="3">
        <v>10653</v>
      </c>
      <c r="B203" s="4">
        <v>44912</v>
      </c>
      <c r="C203" t="s">
        <v>14</v>
      </c>
      <c r="D203" s="3">
        <v>2.95</v>
      </c>
      <c r="E203" s="5">
        <v>745.7627118644067</v>
      </c>
      <c r="F203" s="3" t="s">
        <v>10</v>
      </c>
      <c r="G203" s="3" t="s">
        <v>11</v>
      </c>
      <c r="H203" s="6" t="s">
        <v>35</v>
      </c>
      <c r="I203" t="s">
        <v>20</v>
      </c>
    </row>
    <row r="204" spans="1:9" x14ac:dyDescent="0.3">
      <c r="A204" s="3">
        <v>10654</v>
      </c>
      <c r="B204" s="4">
        <v>44912</v>
      </c>
      <c r="C204" t="s">
        <v>17</v>
      </c>
      <c r="D204" s="3">
        <v>4.99</v>
      </c>
      <c r="E204" s="5">
        <v>200.40080160320639</v>
      </c>
      <c r="F204" s="3" t="s">
        <v>10</v>
      </c>
      <c r="G204" s="3" t="s">
        <v>11</v>
      </c>
      <c r="H204" s="6" t="s">
        <v>35</v>
      </c>
      <c r="I204" t="s">
        <v>20</v>
      </c>
    </row>
    <row r="205" spans="1:9" x14ac:dyDescent="0.3">
      <c r="A205" s="3">
        <v>10655</v>
      </c>
      <c r="B205" s="4">
        <v>44913</v>
      </c>
      <c r="C205" t="s">
        <v>21</v>
      </c>
      <c r="D205" s="3">
        <v>12.99</v>
      </c>
      <c r="E205" s="5">
        <v>600.46189376443419</v>
      </c>
      <c r="F205" s="3" t="s">
        <v>10</v>
      </c>
      <c r="G205" s="3" t="s">
        <v>11</v>
      </c>
      <c r="H205" s="6" t="s">
        <v>35</v>
      </c>
      <c r="I205" t="s">
        <v>20</v>
      </c>
    </row>
    <row r="206" spans="1:9" x14ac:dyDescent="0.3">
      <c r="A206" s="3">
        <v>10656</v>
      </c>
      <c r="B206" s="4">
        <v>44913</v>
      </c>
      <c r="C206" t="s">
        <v>25</v>
      </c>
      <c r="D206" s="3">
        <v>9.9499999999999993</v>
      </c>
      <c r="E206" s="5">
        <v>221.10552763819098</v>
      </c>
      <c r="F206" s="3" t="s">
        <v>10</v>
      </c>
      <c r="G206" s="3" t="s">
        <v>11</v>
      </c>
      <c r="H206" s="6" t="s">
        <v>35</v>
      </c>
      <c r="I206" t="s">
        <v>20</v>
      </c>
    </row>
    <row r="207" spans="1:9" x14ac:dyDescent="0.3">
      <c r="A207" s="3">
        <v>10657</v>
      </c>
      <c r="B207" s="4">
        <v>44913</v>
      </c>
      <c r="C207" t="s">
        <v>9</v>
      </c>
      <c r="D207" s="3">
        <v>3.49</v>
      </c>
      <c r="E207" s="5">
        <v>687.67908309455584</v>
      </c>
      <c r="F207" s="3" t="s">
        <v>10</v>
      </c>
      <c r="G207" s="3" t="s">
        <v>11</v>
      </c>
      <c r="H207" s="6" t="s">
        <v>35</v>
      </c>
      <c r="I207" t="s">
        <v>20</v>
      </c>
    </row>
    <row r="208" spans="1:9" x14ac:dyDescent="0.3">
      <c r="A208" s="3">
        <v>10658</v>
      </c>
      <c r="B208" s="4">
        <v>44913</v>
      </c>
      <c r="C208" t="s">
        <v>14</v>
      </c>
      <c r="D208" s="3">
        <v>2.95</v>
      </c>
      <c r="E208" s="5">
        <v>745.7627118644067</v>
      </c>
      <c r="F208" s="3" t="s">
        <v>10</v>
      </c>
      <c r="G208" s="3" t="s">
        <v>37</v>
      </c>
      <c r="H208" s="6" t="s">
        <v>35</v>
      </c>
      <c r="I208" t="s">
        <v>20</v>
      </c>
    </row>
    <row r="209" spans="1:9" x14ac:dyDescent="0.3">
      <c r="A209" s="3">
        <v>10659</v>
      </c>
      <c r="B209" s="4">
        <v>44913</v>
      </c>
      <c r="C209" t="s">
        <v>17</v>
      </c>
      <c r="D209" s="3">
        <v>4.99</v>
      </c>
      <c r="E209" s="5">
        <v>200.40080160320639</v>
      </c>
      <c r="F209" s="3" t="s">
        <v>10</v>
      </c>
      <c r="G209" s="3" t="s">
        <v>37</v>
      </c>
      <c r="H209" s="6" t="s">
        <v>35</v>
      </c>
      <c r="I209" t="s">
        <v>20</v>
      </c>
    </row>
    <row r="210" spans="1:9" x14ac:dyDescent="0.3">
      <c r="A210" s="3">
        <v>10660</v>
      </c>
      <c r="B210" s="4">
        <v>44914</v>
      </c>
      <c r="C210" t="s">
        <v>21</v>
      </c>
      <c r="D210" s="3">
        <v>12.99</v>
      </c>
      <c r="E210" s="5">
        <v>631.25481139337955</v>
      </c>
      <c r="F210" s="3" t="s">
        <v>18</v>
      </c>
      <c r="G210" s="3" t="s">
        <v>37</v>
      </c>
      <c r="H210" s="6" t="s">
        <v>35</v>
      </c>
      <c r="I210" t="s">
        <v>20</v>
      </c>
    </row>
    <row r="211" spans="1:9" x14ac:dyDescent="0.3">
      <c r="A211" s="3">
        <v>10661</v>
      </c>
      <c r="B211" s="4">
        <v>44914</v>
      </c>
      <c r="C211" t="s">
        <v>25</v>
      </c>
      <c r="D211" s="3">
        <v>9.9499999999999993</v>
      </c>
      <c r="E211" s="5">
        <v>221.10552763819098</v>
      </c>
      <c r="F211" s="3" t="s">
        <v>18</v>
      </c>
      <c r="G211" s="3" t="s">
        <v>37</v>
      </c>
      <c r="H211" s="6" t="s">
        <v>35</v>
      </c>
      <c r="I211" t="s">
        <v>20</v>
      </c>
    </row>
    <row r="212" spans="1:9" x14ac:dyDescent="0.3">
      <c r="A212" s="3">
        <v>10662</v>
      </c>
      <c r="B212" s="4">
        <v>44914</v>
      </c>
      <c r="C212" t="s">
        <v>9</v>
      </c>
      <c r="D212" s="3">
        <v>3.49</v>
      </c>
      <c r="E212" s="5">
        <v>630.3724928366762</v>
      </c>
      <c r="F212" s="3" t="s">
        <v>18</v>
      </c>
      <c r="G212" s="3" t="s">
        <v>37</v>
      </c>
      <c r="H212" s="6" t="s">
        <v>35</v>
      </c>
      <c r="I212" t="s">
        <v>20</v>
      </c>
    </row>
    <row r="213" spans="1:9" x14ac:dyDescent="0.3">
      <c r="A213" s="3">
        <v>10663</v>
      </c>
      <c r="B213" s="4">
        <v>44914</v>
      </c>
      <c r="C213" t="s">
        <v>14</v>
      </c>
      <c r="D213" s="3">
        <v>2.95</v>
      </c>
      <c r="E213" s="5">
        <v>745.7627118644067</v>
      </c>
      <c r="F213" s="3" t="s">
        <v>18</v>
      </c>
      <c r="G213" s="3" t="s">
        <v>37</v>
      </c>
      <c r="H213" s="6" t="s">
        <v>35</v>
      </c>
      <c r="I213" t="s">
        <v>20</v>
      </c>
    </row>
    <row r="214" spans="1:9" x14ac:dyDescent="0.3">
      <c r="A214" s="3">
        <v>10664</v>
      </c>
      <c r="B214" s="4">
        <v>44914</v>
      </c>
      <c r="C214" t="s">
        <v>17</v>
      </c>
      <c r="D214" s="3">
        <v>4.99</v>
      </c>
      <c r="E214" s="5">
        <v>200.40080160320639</v>
      </c>
      <c r="F214" s="3" t="s">
        <v>18</v>
      </c>
      <c r="G214" s="3" t="s">
        <v>37</v>
      </c>
      <c r="H214" s="6" t="s">
        <v>35</v>
      </c>
      <c r="I214" t="s">
        <v>20</v>
      </c>
    </row>
    <row r="215" spans="1:9" x14ac:dyDescent="0.3">
      <c r="A215" s="3">
        <v>10665</v>
      </c>
      <c r="B215" s="4">
        <v>44915</v>
      </c>
      <c r="C215" t="s">
        <v>21</v>
      </c>
      <c r="D215" s="3">
        <v>12.99</v>
      </c>
      <c r="E215" s="5">
        <v>646.65127020785224</v>
      </c>
      <c r="F215" s="3" t="s">
        <v>18</v>
      </c>
      <c r="G215" s="3" t="s">
        <v>37</v>
      </c>
      <c r="H215" s="6" t="s">
        <v>35</v>
      </c>
      <c r="I215" t="s">
        <v>20</v>
      </c>
    </row>
    <row r="216" spans="1:9" x14ac:dyDescent="0.3">
      <c r="A216" s="3">
        <v>10666</v>
      </c>
      <c r="B216" s="4">
        <v>44915</v>
      </c>
      <c r="C216" t="s">
        <v>25</v>
      </c>
      <c r="D216" s="3">
        <v>9.9499999999999993</v>
      </c>
      <c r="E216" s="5">
        <v>221.10552763819098</v>
      </c>
      <c r="F216" s="3" t="s">
        <v>18</v>
      </c>
      <c r="G216" s="3" t="s">
        <v>37</v>
      </c>
      <c r="H216" s="6" t="s">
        <v>35</v>
      </c>
      <c r="I216" t="s">
        <v>20</v>
      </c>
    </row>
    <row r="217" spans="1:9" x14ac:dyDescent="0.3">
      <c r="A217" s="3">
        <v>10667</v>
      </c>
      <c r="B217" s="4">
        <v>44915</v>
      </c>
      <c r="C217" t="s">
        <v>9</v>
      </c>
      <c r="D217" s="3">
        <v>3.49</v>
      </c>
      <c r="E217" s="5">
        <v>630.3724928366762</v>
      </c>
      <c r="F217" s="3" t="s">
        <v>18</v>
      </c>
      <c r="G217" s="3" t="s">
        <v>37</v>
      </c>
      <c r="H217" s="6" t="s">
        <v>35</v>
      </c>
      <c r="I217" t="s">
        <v>20</v>
      </c>
    </row>
    <row r="218" spans="1:9" x14ac:dyDescent="0.3">
      <c r="A218" s="3">
        <v>10668</v>
      </c>
      <c r="B218" s="4">
        <v>44915</v>
      </c>
      <c r="C218" t="s">
        <v>14</v>
      </c>
      <c r="D218" s="3">
        <v>2.95</v>
      </c>
      <c r="E218" s="5">
        <v>745.7627118644067</v>
      </c>
      <c r="F218" s="3" t="s">
        <v>18</v>
      </c>
      <c r="G218" s="3" t="s">
        <v>37</v>
      </c>
      <c r="H218" s="6" t="s">
        <v>35</v>
      </c>
      <c r="I218" t="s">
        <v>20</v>
      </c>
    </row>
    <row r="219" spans="1:9" x14ac:dyDescent="0.3">
      <c r="A219" s="3">
        <v>10669</v>
      </c>
      <c r="B219" s="4">
        <v>44915</v>
      </c>
      <c r="C219" t="s">
        <v>17</v>
      </c>
      <c r="D219" s="3">
        <v>4.99</v>
      </c>
      <c r="E219" s="5">
        <v>200.40080160320639</v>
      </c>
      <c r="F219" s="3" t="s">
        <v>18</v>
      </c>
      <c r="G219" s="3" t="s">
        <v>37</v>
      </c>
      <c r="H219" s="6" t="s">
        <v>35</v>
      </c>
      <c r="I219" t="s">
        <v>20</v>
      </c>
    </row>
    <row r="220" spans="1:9" x14ac:dyDescent="0.3">
      <c r="A220" s="3">
        <v>10670</v>
      </c>
      <c r="B220" s="4">
        <v>44916</v>
      </c>
      <c r="C220" t="s">
        <v>21</v>
      </c>
      <c r="D220" s="3">
        <v>12.99</v>
      </c>
      <c r="E220" s="5">
        <v>677.44418783679748</v>
      </c>
      <c r="F220" s="3" t="s">
        <v>18</v>
      </c>
      <c r="G220" s="3" t="s">
        <v>37</v>
      </c>
      <c r="H220" s="6" t="s">
        <v>35</v>
      </c>
      <c r="I220" t="s">
        <v>20</v>
      </c>
    </row>
    <row r="221" spans="1:9" x14ac:dyDescent="0.3">
      <c r="A221" s="3">
        <v>10671</v>
      </c>
      <c r="B221" s="4">
        <v>44916</v>
      </c>
      <c r="C221" t="s">
        <v>25</v>
      </c>
      <c r="D221" s="3">
        <v>9.9499999999999993</v>
      </c>
      <c r="E221" s="5">
        <v>221.10552763819098</v>
      </c>
      <c r="F221" s="3" t="s">
        <v>18</v>
      </c>
      <c r="G221" s="3" t="s">
        <v>37</v>
      </c>
      <c r="H221" s="6" t="s">
        <v>35</v>
      </c>
      <c r="I221" t="s">
        <v>20</v>
      </c>
    </row>
    <row r="222" spans="1:9" x14ac:dyDescent="0.3">
      <c r="A222" s="3">
        <v>10672</v>
      </c>
      <c r="B222" s="4">
        <v>44916</v>
      </c>
      <c r="C222" t="s">
        <v>9</v>
      </c>
      <c r="D222" s="3">
        <v>3.49</v>
      </c>
      <c r="E222" s="5">
        <v>630.3724928366762</v>
      </c>
      <c r="F222" s="3" t="s">
        <v>18</v>
      </c>
      <c r="G222" s="3" t="s">
        <v>37</v>
      </c>
      <c r="H222" s="6" t="s">
        <v>35</v>
      </c>
      <c r="I222" t="s">
        <v>20</v>
      </c>
    </row>
    <row r="223" spans="1:9" x14ac:dyDescent="0.3">
      <c r="A223" s="3">
        <v>10673</v>
      </c>
      <c r="B223" s="4">
        <v>44916</v>
      </c>
      <c r="C223" t="s">
        <v>14</v>
      </c>
      <c r="D223" s="3">
        <v>2.95</v>
      </c>
      <c r="E223" s="5">
        <v>745.7627118644067</v>
      </c>
      <c r="F223" s="3" t="s">
        <v>18</v>
      </c>
      <c r="G223" s="3" t="s">
        <v>37</v>
      </c>
      <c r="H223" s="6" t="s">
        <v>35</v>
      </c>
      <c r="I223" t="s">
        <v>20</v>
      </c>
    </row>
    <row r="224" spans="1:9" x14ac:dyDescent="0.3">
      <c r="A224" s="3">
        <v>10674</v>
      </c>
      <c r="B224" s="4">
        <v>44916</v>
      </c>
      <c r="C224" t="s">
        <v>17</v>
      </c>
      <c r="D224" s="3">
        <v>4.99</v>
      </c>
      <c r="E224" s="5">
        <v>200.40080160320639</v>
      </c>
      <c r="F224" s="3" t="s">
        <v>18</v>
      </c>
      <c r="G224" s="3" t="s">
        <v>37</v>
      </c>
      <c r="H224" s="6" t="s">
        <v>35</v>
      </c>
      <c r="I224" t="s">
        <v>20</v>
      </c>
    </row>
    <row r="225" spans="1:9" x14ac:dyDescent="0.3">
      <c r="A225" s="3">
        <v>10675</v>
      </c>
      <c r="B225" s="4">
        <v>44917</v>
      </c>
      <c r="C225" t="s">
        <v>21</v>
      </c>
      <c r="D225" s="3">
        <v>12.99</v>
      </c>
      <c r="E225" s="5">
        <v>677.44418783679748</v>
      </c>
      <c r="F225" s="3" t="s">
        <v>18</v>
      </c>
      <c r="G225" s="3" t="s">
        <v>37</v>
      </c>
      <c r="H225" s="6" t="s">
        <v>35</v>
      </c>
      <c r="I225" t="s">
        <v>20</v>
      </c>
    </row>
    <row r="226" spans="1:9" x14ac:dyDescent="0.3">
      <c r="A226" s="3">
        <v>10676</v>
      </c>
      <c r="B226" s="4">
        <v>44917</v>
      </c>
      <c r="C226" t="s">
        <v>25</v>
      </c>
      <c r="D226" s="3">
        <v>9.9499999999999993</v>
      </c>
      <c r="E226" s="5">
        <v>241.2060301507538</v>
      </c>
      <c r="F226" s="3" t="s">
        <v>18</v>
      </c>
      <c r="G226" s="3" t="s">
        <v>37</v>
      </c>
      <c r="H226" s="6" t="s">
        <v>35</v>
      </c>
      <c r="I226" t="s">
        <v>20</v>
      </c>
    </row>
    <row r="227" spans="1:9" x14ac:dyDescent="0.3">
      <c r="A227" s="3">
        <v>10677</v>
      </c>
      <c r="B227" s="4">
        <v>44917</v>
      </c>
      <c r="C227" t="s">
        <v>9</v>
      </c>
      <c r="D227" s="3">
        <v>3.49</v>
      </c>
      <c r="E227" s="5">
        <v>630.3724928366762</v>
      </c>
      <c r="F227" s="3" t="s">
        <v>18</v>
      </c>
      <c r="G227" s="3" t="s">
        <v>37</v>
      </c>
      <c r="H227" s="6" t="s">
        <v>35</v>
      </c>
      <c r="I227" t="s">
        <v>20</v>
      </c>
    </row>
    <row r="228" spans="1:9" x14ac:dyDescent="0.3">
      <c r="A228" s="3">
        <v>10678</v>
      </c>
      <c r="B228" s="4">
        <v>44917</v>
      </c>
      <c r="C228" t="s">
        <v>14</v>
      </c>
      <c r="D228" s="3">
        <v>2.95</v>
      </c>
      <c r="E228" s="5">
        <v>745.7627118644067</v>
      </c>
      <c r="F228" s="3" t="s">
        <v>18</v>
      </c>
      <c r="G228" s="3" t="s">
        <v>37</v>
      </c>
      <c r="H228" s="6" t="s">
        <v>35</v>
      </c>
      <c r="I228" t="s">
        <v>20</v>
      </c>
    </row>
    <row r="229" spans="1:9" x14ac:dyDescent="0.3">
      <c r="A229" s="3">
        <v>10679</v>
      </c>
      <c r="B229" s="4">
        <v>44917</v>
      </c>
      <c r="C229" t="s">
        <v>17</v>
      </c>
      <c r="D229" s="3">
        <v>4.99</v>
      </c>
      <c r="E229" s="5">
        <v>200.40080160320639</v>
      </c>
      <c r="F229" s="3" t="s">
        <v>18</v>
      </c>
      <c r="G229" s="3" t="s">
        <v>37</v>
      </c>
      <c r="H229" s="6" t="s">
        <v>35</v>
      </c>
      <c r="I229" t="s">
        <v>20</v>
      </c>
    </row>
    <row r="230" spans="1:9" x14ac:dyDescent="0.3">
      <c r="A230" s="3">
        <v>10680</v>
      </c>
      <c r="B230" s="4">
        <v>44918</v>
      </c>
      <c r="C230" t="s">
        <v>21</v>
      </c>
      <c r="D230" s="3">
        <v>12.99</v>
      </c>
      <c r="E230" s="5">
        <v>646.65127020785224</v>
      </c>
      <c r="F230" s="3" t="s">
        <v>18</v>
      </c>
      <c r="G230" s="3" t="s">
        <v>37</v>
      </c>
      <c r="H230" s="6" t="s">
        <v>35</v>
      </c>
      <c r="I230" t="s">
        <v>20</v>
      </c>
    </row>
    <row r="231" spans="1:9" x14ac:dyDescent="0.3">
      <c r="A231" s="3">
        <v>10681</v>
      </c>
      <c r="B231" s="4">
        <v>44918</v>
      </c>
      <c r="C231" t="s">
        <v>25</v>
      </c>
      <c r="D231" s="3">
        <v>9.9499999999999993</v>
      </c>
      <c r="E231" s="5">
        <v>241.2060301507538</v>
      </c>
      <c r="F231" s="3" t="s">
        <v>18</v>
      </c>
      <c r="G231" s="3" t="s">
        <v>37</v>
      </c>
      <c r="H231" s="6" t="s">
        <v>35</v>
      </c>
      <c r="I231" t="s">
        <v>20</v>
      </c>
    </row>
    <row r="232" spans="1:9" x14ac:dyDescent="0.3">
      <c r="A232" s="3">
        <v>10682</v>
      </c>
      <c r="B232" s="4">
        <v>44918</v>
      </c>
      <c r="C232" t="s">
        <v>9</v>
      </c>
      <c r="D232" s="3">
        <v>3.49</v>
      </c>
      <c r="E232" s="5">
        <v>630.3724928366762</v>
      </c>
      <c r="F232" s="3" t="s">
        <v>18</v>
      </c>
      <c r="G232" s="3" t="s">
        <v>37</v>
      </c>
      <c r="H232" s="6" t="s">
        <v>35</v>
      </c>
      <c r="I232" t="s">
        <v>20</v>
      </c>
    </row>
    <row r="233" spans="1:9" x14ac:dyDescent="0.3">
      <c r="A233" s="3">
        <v>10683</v>
      </c>
      <c r="B233" s="4">
        <v>44918</v>
      </c>
      <c r="C233" t="s">
        <v>14</v>
      </c>
      <c r="D233" s="3">
        <v>2.95</v>
      </c>
      <c r="E233" s="5">
        <v>677.96610169491521</v>
      </c>
      <c r="F233" s="3" t="s">
        <v>18</v>
      </c>
      <c r="G233" s="3" t="s">
        <v>37</v>
      </c>
      <c r="H233" s="6" t="s">
        <v>35</v>
      </c>
      <c r="I233" t="s">
        <v>20</v>
      </c>
    </row>
    <row r="234" spans="1:9" x14ac:dyDescent="0.3">
      <c r="A234" s="3">
        <v>10684</v>
      </c>
      <c r="B234" s="4">
        <v>44918</v>
      </c>
      <c r="C234" t="s">
        <v>17</v>
      </c>
      <c r="D234" s="3">
        <v>4.99</v>
      </c>
      <c r="E234" s="5">
        <v>200.40080160320639</v>
      </c>
      <c r="F234" s="3" t="s">
        <v>18</v>
      </c>
      <c r="G234" s="3" t="s">
        <v>37</v>
      </c>
      <c r="H234" s="6" t="s">
        <v>35</v>
      </c>
      <c r="I234" t="s">
        <v>20</v>
      </c>
    </row>
    <row r="235" spans="1:9" x14ac:dyDescent="0.3">
      <c r="A235" s="3">
        <v>10685</v>
      </c>
      <c r="B235" s="4">
        <v>44919</v>
      </c>
      <c r="C235" t="s">
        <v>21</v>
      </c>
      <c r="D235" s="3">
        <v>12.99</v>
      </c>
      <c r="E235" s="5">
        <v>677.44418783679748</v>
      </c>
      <c r="F235" s="3" t="s">
        <v>18</v>
      </c>
      <c r="G235" s="3" t="s">
        <v>37</v>
      </c>
      <c r="H235" s="6" t="s">
        <v>35</v>
      </c>
      <c r="I235" t="s">
        <v>20</v>
      </c>
    </row>
    <row r="236" spans="1:9" x14ac:dyDescent="0.3">
      <c r="A236" s="3">
        <v>10686</v>
      </c>
      <c r="B236" s="4">
        <v>44919</v>
      </c>
      <c r="C236" t="s">
        <v>25</v>
      </c>
      <c r="D236" s="3">
        <v>9.9499999999999993</v>
      </c>
      <c r="E236" s="5">
        <v>241.2060301507538</v>
      </c>
      <c r="F236" s="3" t="s">
        <v>18</v>
      </c>
      <c r="G236" s="3" t="s">
        <v>37</v>
      </c>
      <c r="H236" s="6" t="s">
        <v>35</v>
      </c>
      <c r="I236" t="s">
        <v>20</v>
      </c>
    </row>
    <row r="237" spans="1:9" x14ac:dyDescent="0.3">
      <c r="A237" s="3">
        <v>10687</v>
      </c>
      <c r="B237" s="4">
        <v>44919</v>
      </c>
      <c r="C237" t="s">
        <v>9</v>
      </c>
      <c r="D237" s="3">
        <v>3.49</v>
      </c>
      <c r="E237" s="5">
        <v>630.3724928366762</v>
      </c>
      <c r="F237" s="3" t="s">
        <v>18</v>
      </c>
      <c r="G237" s="3" t="s">
        <v>37</v>
      </c>
      <c r="H237" t="s">
        <v>23</v>
      </c>
      <c r="I237" t="s">
        <v>24</v>
      </c>
    </row>
    <row r="238" spans="1:9" x14ac:dyDescent="0.3">
      <c r="A238" s="3">
        <v>10688</v>
      </c>
      <c r="B238" s="4">
        <v>44919</v>
      </c>
      <c r="C238" t="s">
        <v>14</v>
      </c>
      <c r="D238" s="3">
        <v>2.95</v>
      </c>
      <c r="E238" s="5">
        <v>677.96610169491521</v>
      </c>
      <c r="F238" s="3" t="s">
        <v>18</v>
      </c>
      <c r="G238" s="3" t="s">
        <v>37</v>
      </c>
      <c r="H238" t="s">
        <v>23</v>
      </c>
      <c r="I238" t="s">
        <v>24</v>
      </c>
    </row>
    <row r="239" spans="1:9" x14ac:dyDescent="0.3">
      <c r="A239" s="3">
        <v>10689</v>
      </c>
      <c r="B239" s="4">
        <v>44919</v>
      </c>
      <c r="C239" t="s">
        <v>17</v>
      </c>
      <c r="D239" s="3">
        <v>4.99</v>
      </c>
      <c r="E239" s="5">
        <v>200.40080160320639</v>
      </c>
      <c r="F239" s="3" t="s">
        <v>18</v>
      </c>
      <c r="G239" s="3" t="s">
        <v>37</v>
      </c>
      <c r="H239" t="s">
        <v>23</v>
      </c>
      <c r="I239" t="s">
        <v>24</v>
      </c>
    </row>
    <row r="240" spans="1:9" x14ac:dyDescent="0.3">
      <c r="A240" s="3">
        <v>10690</v>
      </c>
      <c r="B240" s="4">
        <v>44920</v>
      </c>
      <c r="C240" t="s">
        <v>21</v>
      </c>
      <c r="D240" s="3">
        <v>12.99</v>
      </c>
      <c r="E240" s="5">
        <v>677.44418783679748</v>
      </c>
      <c r="F240" s="3" t="s">
        <v>18</v>
      </c>
      <c r="G240" s="3" t="s">
        <v>37</v>
      </c>
      <c r="H240" t="s">
        <v>23</v>
      </c>
      <c r="I240" t="s">
        <v>24</v>
      </c>
    </row>
    <row r="241" spans="1:9" x14ac:dyDescent="0.3">
      <c r="A241" s="3">
        <v>10691</v>
      </c>
      <c r="B241" s="4">
        <v>44920</v>
      </c>
      <c r="C241" t="s">
        <v>25</v>
      </c>
      <c r="D241" s="3">
        <v>9.9499999999999993</v>
      </c>
      <c r="E241" s="5">
        <v>261.3065326633166</v>
      </c>
      <c r="F241" s="3" t="s">
        <v>18</v>
      </c>
      <c r="G241" s="3" t="s">
        <v>37</v>
      </c>
      <c r="H241" t="s">
        <v>23</v>
      </c>
      <c r="I241" t="s">
        <v>24</v>
      </c>
    </row>
    <row r="242" spans="1:9" x14ac:dyDescent="0.3">
      <c r="A242" s="3">
        <v>10692</v>
      </c>
      <c r="B242" s="4">
        <v>44920</v>
      </c>
      <c r="C242" t="s">
        <v>9</v>
      </c>
      <c r="D242" s="3">
        <v>3.49</v>
      </c>
      <c r="E242" s="5">
        <v>630.3724928366762</v>
      </c>
      <c r="F242" s="3" t="s">
        <v>18</v>
      </c>
      <c r="G242" s="3" t="s">
        <v>37</v>
      </c>
      <c r="H242" t="s">
        <v>23</v>
      </c>
      <c r="I242" t="s">
        <v>24</v>
      </c>
    </row>
    <row r="243" spans="1:9" x14ac:dyDescent="0.3">
      <c r="A243" s="3">
        <v>10693</v>
      </c>
      <c r="B243" s="4">
        <v>44920</v>
      </c>
      <c r="C243" t="s">
        <v>14</v>
      </c>
      <c r="D243" s="3">
        <v>2.95</v>
      </c>
      <c r="E243" s="5">
        <v>677.96610169491521</v>
      </c>
      <c r="F243" s="3" t="s">
        <v>18</v>
      </c>
      <c r="G243" s="3" t="s">
        <v>37</v>
      </c>
      <c r="H243" t="s">
        <v>23</v>
      </c>
      <c r="I243" t="s">
        <v>24</v>
      </c>
    </row>
    <row r="244" spans="1:9" x14ac:dyDescent="0.3">
      <c r="A244" s="3">
        <v>10694</v>
      </c>
      <c r="B244" s="4">
        <v>44920</v>
      </c>
      <c r="C244" t="s">
        <v>17</v>
      </c>
      <c r="D244" s="3">
        <v>4.99</v>
      </c>
      <c r="E244" s="5">
        <v>200.40080160320639</v>
      </c>
      <c r="F244" s="3" t="s">
        <v>18</v>
      </c>
      <c r="G244" s="3" t="s">
        <v>37</v>
      </c>
      <c r="H244" t="s">
        <v>23</v>
      </c>
      <c r="I244" t="s">
        <v>24</v>
      </c>
    </row>
    <row r="245" spans="1:9" x14ac:dyDescent="0.3">
      <c r="A245" s="3">
        <v>10695</v>
      </c>
      <c r="B245" s="4">
        <v>44921</v>
      </c>
      <c r="C245" t="s">
        <v>21</v>
      </c>
      <c r="D245" s="3">
        <v>12.99</v>
      </c>
      <c r="E245" s="5">
        <v>692.84064665127016</v>
      </c>
      <c r="F245" s="3" t="s">
        <v>18</v>
      </c>
      <c r="G245" s="3" t="s">
        <v>37</v>
      </c>
      <c r="H245" t="s">
        <v>23</v>
      </c>
      <c r="I245" t="s">
        <v>24</v>
      </c>
    </row>
    <row r="246" spans="1:9" x14ac:dyDescent="0.3">
      <c r="A246" s="3">
        <v>10696</v>
      </c>
      <c r="B246" s="4">
        <v>44921</v>
      </c>
      <c r="C246" t="s">
        <v>25</v>
      </c>
      <c r="D246" s="3">
        <v>9.9499999999999993</v>
      </c>
      <c r="E246" s="5">
        <v>281.4070351758794</v>
      </c>
      <c r="F246" s="3" t="s">
        <v>18</v>
      </c>
      <c r="G246" s="3" t="s">
        <v>37</v>
      </c>
      <c r="H246" t="s">
        <v>23</v>
      </c>
      <c r="I246" t="s">
        <v>24</v>
      </c>
    </row>
    <row r="247" spans="1:9" x14ac:dyDescent="0.3">
      <c r="A247" s="3">
        <v>10697</v>
      </c>
      <c r="B247" s="4">
        <v>44921</v>
      </c>
      <c r="C247" t="s">
        <v>9</v>
      </c>
      <c r="D247" s="3">
        <v>3.49</v>
      </c>
      <c r="E247" s="5">
        <v>630.3724928366762</v>
      </c>
      <c r="F247" s="3" t="s">
        <v>18</v>
      </c>
      <c r="G247" s="3" t="s">
        <v>37</v>
      </c>
      <c r="H247" t="s">
        <v>23</v>
      </c>
      <c r="I247" t="s">
        <v>24</v>
      </c>
    </row>
    <row r="248" spans="1:9" x14ac:dyDescent="0.3">
      <c r="A248" s="3">
        <v>10698</v>
      </c>
      <c r="B248" s="4">
        <v>44921</v>
      </c>
      <c r="C248" t="s">
        <v>14</v>
      </c>
      <c r="D248" s="3">
        <v>2.95</v>
      </c>
      <c r="E248" s="5">
        <v>677.96610169491521</v>
      </c>
      <c r="F248" s="3" t="s">
        <v>18</v>
      </c>
      <c r="G248" s="3" t="s">
        <v>37</v>
      </c>
      <c r="H248" t="s">
        <v>23</v>
      </c>
      <c r="I248" t="s">
        <v>24</v>
      </c>
    </row>
    <row r="249" spans="1:9" x14ac:dyDescent="0.3">
      <c r="A249" s="3">
        <v>10699</v>
      </c>
      <c r="B249" s="4">
        <v>44921</v>
      </c>
      <c r="C249" t="s">
        <v>17</v>
      </c>
      <c r="D249" s="3">
        <v>4.99</v>
      </c>
      <c r="E249" s="5">
        <v>200.40080160320639</v>
      </c>
      <c r="F249" s="3" t="s">
        <v>18</v>
      </c>
      <c r="G249" s="3" t="s">
        <v>37</v>
      </c>
      <c r="H249" t="s">
        <v>23</v>
      </c>
      <c r="I249" t="s">
        <v>24</v>
      </c>
    </row>
    <row r="250" spans="1:9" x14ac:dyDescent="0.3">
      <c r="A250" s="3">
        <v>10700</v>
      </c>
      <c r="B250" s="4">
        <v>44922</v>
      </c>
      <c r="C250" t="s">
        <v>21</v>
      </c>
      <c r="D250" s="3">
        <v>12.99</v>
      </c>
      <c r="E250" s="5">
        <v>692.84064665127016</v>
      </c>
      <c r="F250" s="3" t="s">
        <v>18</v>
      </c>
      <c r="G250" s="3" t="s">
        <v>37</v>
      </c>
      <c r="H250" t="s">
        <v>23</v>
      </c>
      <c r="I250" t="s">
        <v>24</v>
      </c>
    </row>
    <row r="251" spans="1:9" x14ac:dyDescent="0.3">
      <c r="A251" s="3">
        <v>10701</v>
      </c>
      <c r="B251" s="4">
        <v>44922</v>
      </c>
      <c r="C251" t="s">
        <v>25</v>
      </c>
      <c r="D251" s="3">
        <v>9.9499999999999993</v>
      </c>
      <c r="E251" s="5">
        <v>281.4070351758794</v>
      </c>
      <c r="F251" s="3" t="s">
        <v>18</v>
      </c>
      <c r="G251" s="3" t="s">
        <v>37</v>
      </c>
      <c r="H251" t="s">
        <v>23</v>
      </c>
      <c r="I251" t="s">
        <v>24</v>
      </c>
    </row>
    <row r="252" spans="1:9" x14ac:dyDescent="0.3">
      <c r="A252" s="3">
        <v>10702</v>
      </c>
      <c r="B252" s="4">
        <v>44922</v>
      </c>
      <c r="C252" t="s">
        <v>9</v>
      </c>
      <c r="D252" s="3">
        <v>3.49</v>
      </c>
      <c r="E252" s="5">
        <v>630.3724928366762</v>
      </c>
      <c r="F252" s="3" t="s">
        <v>18</v>
      </c>
      <c r="G252" s="3" t="s">
        <v>37</v>
      </c>
      <c r="H252" t="s">
        <v>23</v>
      </c>
      <c r="I252" t="s">
        <v>24</v>
      </c>
    </row>
    <row r="253" spans="1:9" x14ac:dyDescent="0.3">
      <c r="A253" s="3">
        <v>10703</v>
      </c>
      <c r="B253" s="4">
        <v>44922</v>
      </c>
      <c r="C253" t="s">
        <v>14</v>
      </c>
      <c r="D253" s="3">
        <v>2.95</v>
      </c>
      <c r="E253" s="5">
        <v>677.96610169491521</v>
      </c>
      <c r="F253" s="3" t="s">
        <v>18</v>
      </c>
      <c r="G253" s="3" t="s">
        <v>11</v>
      </c>
      <c r="H253" t="s">
        <v>23</v>
      </c>
      <c r="I253" t="s">
        <v>24</v>
      </c>
    </row>
    <row r="254" spans="1:9" x14ac:dyDescent="0.3">
      <c r="A254" s="3">
        <v>10704</v>
      </c>
      <c r="B254" s="4">
        <v>44922</v>
      </c>
      <c r="C254" t="s">
        <v>17</v>
      </c>
      <c r="D254" s="3">
        <v>4.99</v>
      </c>
      <c r="E254" s="5">
        <v>200.40080160320639</v>
      </c>
      <c r="F254" s="3" t="s">
        <v>36</v>
      </c>
      <c r="G254" s="3" t="s">
        <v>11</v>
      </c>
      <c r="H254" t="s">
        <v>23</v>
      </c>
      <c r="I254" t="s">
        <v>24</v>
      </c>
    </row>
    <row r="255" spans="1:9" x14ac:dyDescent="0.3">
      <c r="A255" s="3">
        <v>10705</v>
      </c>
      <c r="B255" s="4">
        <v>44923</v>
      </c>
      <c r="C255" t="s">
        <v>21</v>
      </c>
      <c r="D255" s="3">
        <v>12.99</v>
      </c>
      <c r="E255" s="5">
        <v>723.63356428021552</v>
      </c>
      <c r="F255" s="3" t="s">
        <v>36</v>
      </c>
      <c r="G255" s="3" t="s">
        <v>11</v>
      </c>
      <c r="H255" t="s">
        <v>23</v>
      </c>
      <c r="I255" t="s">
        <v>24</v>
      </c>
    </row>
    <row r="256" spans="1:9" x14ac:dyDescent="0.3">
      <c r="A256" s="3">
        <v>10706</v>
      </c>
      <c r="B256" s="4">
        <v>44923</v>
      </c>
      <c r="C256" t="s">
        <v>25</v>
      </c>
      <c r="D256" s="3">
        <v>9.9499999999999993</v>
      </c>
      <c r="E256" s="5">
        <v>301.50753768844226</v>
      </c>
      <c r="F256" s="3" t="s">
        <v>36</v>
      </c>
      <c r="G256" s="3" t="s">
        <v>11</v>
      </c>
      <c r="H256" t="s">
        <v>23</v>
      </c>
      <c r="I256" t="s">
        <v>24</v>
      </c>
    </row>
    <row r="257" spans="1:9" x14ac:dyDescent="0.3">
      <c r="A257" s="3">
        <v>10707</v>
      </c>
      <c r="B257" s="4">
        <v>44923</v>
      </c>
      <c r="C257" t="s">
        <v>9</v>
      </c>
      <c r="D257" s="3">
        <v>3.49</v>
      </c>
      <c r="E257" s="5">
        <v>630.3724928366762</v>
      </c>
      <c r="F257" s="3" t="s">
        <v>36</v>
      </c>
      <c r="G257" s="3" t="s">
        <v>11</v>
      </c>
      <c r="H257" t="s">
        <v>23</v>
      </c>
      <c r="I257" t="s">
        <v>24</v>
      </c>
    </row>
    <row r="258" spans="1:9" x14ac:dyDescent="0.3">
      <c r="A258" s="3">
        <v>10708</v>
      </c>
      <c r="B258" s="4">
        <v>44923</v>
      </c>
      <c r="C258" t="s">
        <v>14</v>
      </c>
      <c r="D258" s="3">
        <v>2.95</v>
      </c>
      <c r="E258" s="5">
        <v>677.96610169491521</v>
      </c>
      <c r="F258" s="3" t="s">
        <v>36</v>
      </c>
      <c r="G258" s="3" t="s">
        <v>11</v>
      </c>
      <c r="H258" t="s">
        <v>23</v>
      </c>
      <c r="I258" t="s">
        <v>24</v>
      </c>
    </row>
    <row r="259" spans="1:9" x14ac:dyDescent="0.3">
      <c r="A259" s="3">
        <v>10709</v>
      </c>
      <c r="B259" s="4">
        <v>44923</v>
      </c>
      <c r="C259" t="s">
        <v>17</v>
      </c>
      <c r="D259" s="3">
        <v>4.99</v>
      </c>
      <c r="E259" s="5">
        <v>200.40080160320639</v>
      </c>
      <c r="F259" s="3" t="s">
        <v>36</v>
      </c>
      <c r="G259" s="3" t="s">
        <v>11</v>
      </c>
      <c r="H259" t="s">
        <v>23</v>
      </c>
      <c r="I259" t="s">
        <v>24</v>
      </c>
    </row>
    <row r="260" spans="1:9" x14ac:dyDescent="0.3">
      <c r="A260" s="3">
        <v>10710</v>
      </c>
      <c r="B260" s="4">
        <v>44924</v>
      </c>
      <c r="C260" t="s">
        <v>21</v>
      </c>
      <c r="D260" s="3">
        <v>12.99</v>
      </c>
      <c r="E260" s="5">
        <v>754.42648190916088</v>
      </c>
      <c r="F260" s="3" t="s">
        <v>36</v>
      </c>
      <c r="G260" s="3" t="s">
        <v>11</v>
      </c>
      <c r="H260" t="s">
        <v>23</v>
      </c>
      <c r="I260" t="s">
        <v>24</v>
      </c>
    </row>
    <row r="261" spans="1:9" x14ac:dyDescent="0.3">
      <c r="A261" s="3">
        <v>10711</v>
      </c>
      <c r="B261" s="4">
        <v>44924</v>
      </c>
      <c r="C261" t="s">
        <v>25</v>
      </c>
      <c r="D261" s="3">
        <v>9.9499999999999993</v>
      </c>
      <c r="E261" s="5">
        <v>281.4070351758794</v>
      </c>
      <c r="F261" s="3" t="s">
        <v>36</v>
      </c>
      <c r="G261" s="3" t="s">
        <v>11</v>
      </c>
      <c r="H261" t="s">
        <v>23</v>
      </c>
      <c r="I261" t="s">
        <v>24</v>
      </c>
    </row>
    <row r="262" spans="1:9" x14ac:dyDescent="0.3">
      <c r="A262" s="3">
        <v>10712</v>
      </c>
      <c r="B262" s="4">
        <v>44924</v>
      </c>
      <c r="C262" t="s">
        <v>9</v>
      </c>
      <c r="D262" s="3">
        <v>3.49</v>
      </c>
      <c r="E262" s="5">
        <v>630.3724928366762</v>
      </c>
      <c r="F262" s="3" t="s">
        <v>36</v>
      </c>
      <c r="G262" s="3" t="s">
        <v>11</v>
      </c>
      <c r="H262" t="s">
        <v>23</v>
      </c>
      <c r="I262" t="s">
        <v>24</v>
      </c>
    </row>
    <row r="263" spans="1:9" x14ac:dyDescent="0.3">
      <c r="A263" s="3">
        <v>10713</v>
      </c>
      <c r="B263" s="4">
        <v>44924</v>
      </c>
      <c r="C263" t="s">
        <v>14</v>
      </c>
      <c r="D263" s="3">
        <v>2.95</v>
      </c>
      <c r="E263" s="5">
        <v>677.96610169491521</v>
      </c>
      <c r="F263" s="3" t="s">
        <v>36</v>
      </c>
      <c r="G263" s="3" t="s">
        <v>11</v>
      </c>
      <c r="H263" t="s">
        <v>23</v>
      </c>
      <c r="I263"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1E6D8-EB24-4098-B9AB-073737679467}">
  <dimension ref="A1:I11"/>
  <sheetViews>
    <sheetView tabSelected="1" workbookViewId="0">
      <selection activeCell="A14" sqref="A14"/>
    </sheetView>
  </sheetViews>
  <sheetFormatPr defaultRowHeight="15.6" x14ac:dyDescent="0.3"/>
  <cols>
    <col min="1" max="1" width="9.296875" bestFit="1" customWidth="1"/>
    <col min="2" max="2" width="7.19921875" bestFit="1" customWidth="1"/>
    <col min="3" max="3" width="4" bestFit="1" customWidth="1"/>
    <col min="4" max="4" width="7.09765625" bestFit="1" customWidth="1"/>
    <col min="5" max="5" width="11.09765625" bestFit="1" customWidth="1"/>
    <col min="6" max="6" width="6.09765625" bestFit="1" customWidth="1"/>
    <col min="7" max="7" width="10" bestFit="1" customWidth="1"/>
    <col min="8" max="8" width="8.09765625" bestFit="1" customWidth="1"/>
  </cols>
  <sheetData>
    <row r="1" spans="1:9" s="11" customFormat="1" x14ac:dyDescent="0.3">
      <c r="A1" s="11" t="s">
        <v>60</v>
      </c>
      <c r="B1" s="11" t="s">
        <v>61</v>
      </c>
      <c r="C1" s="11" t="s">
        <v>62</v>
      </c>
      <c r="D1" s="11" t="s">
        <v>63</v>
      </c>
      <c r="E1" s="11" t="s">
        <v>64</v>
      </c>
      <c r="F1" s="11" t="s">
        <v>65</v>
      </c>
      <c r="G1" s="11" t="s">
        <v>8</v>
      </c>
      <c r="H1" s="11" t="s">
        <v>89</v>
      </c>
      <c r="I1" s="11" t="s">
        <v>89</v>
      </c>
    </row>
    <row r="2" spans="1:9" x14ac:dyDescent="0.3">
      <c r="A2">
        <v>101</v>
      </c>
      <c r="B2" t="s">
        <v>66</v>
      </c>
      <c r="C2">
        <v>21</v>
      </c>
      <c r="D2" t="s">
        <v>67</v>
      </c>
      <c r="E2" t="s">
        <v>68</v>
      </c>
      <c r="F2">
        <v>85</v>
      </c>
      <c r="G2" t="s">
        <v>69</v>
      </c>
      <c r="H2">
        <f>F2*3</f>
        <v>255</v>
      </c>
      <c r="I2">
        <v>255</v>
      </c>
    </row>
    <row r="3" spans="1:9" x14ac:dyDescent="0.3">
      <c r="A3">
        <v>102</v>
      </c>
      <c r="B3" t="s">
        <v>70</v>
      </c>
      <c r="C3">
        <v>22</v>
      </c>
      <c r="D3" t="s">
        <v>71</v>
      </c>
      <c r="E3" t="s">
        <v>72</v>
      </c>
      <c r="F3">
        <v>78</v>
      </c>
      <c r="G3" t="s">
        <v>73</v>
      </c>
      <c r="H3">
        <f t="shared" ref="H3:H11" si="0">F3*3</f>
        <v>234</v>
      </c>
      <c r="I3">
        <v>234</v>
      </c>
    </row>
    <row r="4" spans="1:9" x14ac:dyDescent="0.3">
      <c r="A4">
        <v>103</v>
      </c>
      <c r="B4" t="s">
        <v>74</v>
      </c>
      <c r="C4">
        <v>20</v>
      </c>
      <c r="D4" t="s">
        <v>67</v>
      </c>
      <c r="E4" t="s">
        <v>75</v>
      </c>
      <c r="F4">
        <v>92</v>
      </c>
      <c r="G4" t="s">
        <v>76</v>
      </c>
      <c r="H4">
        <f t="shared" si="0"/>
        <v>276</v>
      </c>
      <c r="I4">
        <v>276</v>
      </c>
    </row>
    <row r="5" spans="1:9" x14ac:dyDescent="0.3">
      <c r="A5">
        <v>104</v>
      </c>
      <c r="B5" t="s">
        <v>77</v>
      </c>
      <c r="C5">
        <v>23</v>
      </c>
      <c r="D5" t="s">
        <v>71</v>
      </c>
      <c r="E5" t="s">
        <v>78</v>
      </c>
      <c r="F5">
        <v>67</v>
      </c>
      <c r="G5" t="s">
        <v>79</v>
      </c>
      <c r="H5">
        <f t="shared" si="0"/>
        <v>201</v>
      </c>
      <c r="I5">
        <v>201</v>
      </c>
    </row>
    <row r="6" spans="1:9" x14ac:dyDescent="0.3">
      <c r="A6">
        <v>105</v>
      </c>
      <c r="B6" t="s">
        <v>80</v>
      </c>
      <c r="C6">
        <v>21</v>
      </c>
      <c r="D6" t="s">
        <v>67</v>
      </c>
      <c r="E6" t="s">
        <v>68</v>
      </c>
      <c r="F6">
        <v>88</v>
      </c>
      <c r="G6" t="s">
        <v>69</v>
      </c>
      <c r="H6">
        <f t="shared" si="0"/>
        <v>264</v>
      </c>
      <c r="I6">
        <v>264</v>
      </c>
    </row>
    <row r="7" spans="1:9" x14ac:dyDescent="0.3">
      <c r="A7">
        <v>106</v>
      </c>
      <c r="B7" t="s">
        <v>81</v>
      </c>
      <c r="C7">
        <v>22</v>
      </c>
      <c r="D7" t="s">
        <v>71</v>
      </c>
      <c r="E7" t="s">
        <v>75</v>
      </c>
      <c r="F7">
        <v>74</v>
      </c>
      <c r="G7" t="s">
        <v>82</v>
      </c>
      <c r="H7">
        <f t="shared" si="0"/>
        <v>222</v>
      </c>
      <c r="I7">
        <v>222</v>
      </c>
    </row>
    <row r="8" spans="1:9" x14ac:dyDescent="0.3">
      <c r="A8">
        <v>107</v>
      </c>
      <c r="B8" t="s">
        <v>83</v>
      </c>
      <c r="C8">
        <v>20</v>
      </c>
      <c r="D8" t="s">
        <v>67</v>
      </c>
      <c r="E8" t="s">
        <v>72</v>
      </c>
      <c r="F8">
        <v>81</v>
      </c>
      <c r="G8" t="s">
        <v>84</v>
      </c>
      <c r="H8">
        <f t="shared" si="0"/>
        <v>243</v>
      </c>
      <c r="I8">
        <v>243</v>
      </c>
    </row>
    <row r="9" spans="1:9" x14ac:dyDescent="0.3">
      <c r="A9">
        <v>108</v>
      </c>
      <c r="B9" t="s">
        <v>85</v>
      </c>
      <c r="C9">
        <v>24</v>
      </c>
      <c r="D9" t="s">
        <v>71</v>
      </c>
      <c r="E9" t="s">
        <v>78</v>
      </c>
      <c r="F9">
        <v>69</v>
      </c>
      <c r="G9" t="s">
        <v>86</v>
      </c>
      <c r="H9">
        <f t="shared" si="0"/>
        <v>207</v>
      </c>
      <c r="I9">
        <v>207</v>
      </c>
    </row>
    <row r="10" spans="1:9" x14ac:dyDescent="0.3">
      <c r="A10">
        <v>109</v>
      </c>
      <c r="B10" t="s">
        <v>87</v>
      </c>
      <c r="C10">
        <v>21</v>
      </c>
      <c r="D10" t="s">
        <v>67</v>
      </c>
      <c r="E10" t="s">
        <v>68</v>
      </c>
      <c r="F10">
        <v>95</v>
      </c>
      <c r="G10" t="s">
        <v>69</v>
      </c>
      <c r="H10">
        <f t="shared" si="0"/>
        <v>285</v>
      </c>
      <c r="I10">
        <v>285</v>
      </c>
    </row>
    <row r="11" spans="1:9" x14ac:dyDescent="0.3">
      <c r="A11">
        <v>110</v>
      </c>
      <c r="B11" t="s">
        <v>88</v>
      </c>
      <c r="C11">
        <v>23</v>
      </c>
      <c r="D11" t="s">
        <v>71</v>
      </c>
      <c r="E11" t="s">
        <v>75</v>
      </c>
      <c r="F11">
        <v>72</v>
      </c>
      <c r="G11" t="s">
        <v>73</v>
      </c>
      <c r="H11">
        <f t="shared" si="0"/>
        <v>216</v>
      </c>
      <c r="I11">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946F-9855-407F-B86E-CC8A56995C93}">
  <dimension ref="A1:C31"/>
  <sheetViews>
    <sheetView workbookViewId="0">
      <selection activeCell="A5" sqref="A5"/>
    </sheetView>
  </sheetViews>
  <sheetFormatPr defaultRowHeight="15.6" x14ac:dyDescent="0.3"/>
  <cols>
    <col min="2" max="2" width="18.8984375" style="22" customWidth="1"/>
    <col min="3" max="3" width="38" style="22" bestFit="1" customWidth="1"/>
  </cols>
  <sheetData>
    <row r="1" spans="1:3" x14ac:dyDescent="0.3">
      <c r="A1" s="11" t="s">
        <v>49</v>
      </c>
      <c r="B1" s="21" t="s">
        <v>50</v>
      </c>
      <c r="C1" s="21" t="s">
        <v>51</v>
      </c>
    </row>
    <row r="2" spans="1:3" x14ac:dyDescent="0.3">
      <c r="A2">
        <v>1</v>
      </c>
      <c r="B2" s="22" t="s">
        <v>52</v>
      </c>
      <c r="C2" s="22" t="s">
        <v>53</v>
      </c>
    </row>
    <row r="3" spans="1:3" x14ac:dyDescent="0.3">
      <c r="A3">
        <v>2</v>
      </c>
      <c r="B3" s="22" t="s">
        <v>55</v>
      </c>
      <c r="C3" s="22" t="s">
        <v>54</v>
      </c>
    </row>
    <row r="4" spans="1:3" ht="31.2" x14ac:dyDescent="0.3">
      <c r="A4">
        <v>3</v>
      </c>
      <c r="B4" s="22" t="s">
        <v>56</v>
      </c>
      <c r="C4" s="22" t="s">
        <v>58</v>
      </c>
    </row>
    <row r="5" spans="1:3" ht="31.2" x14ac:dyDescent="0.3">
      <c r="A5">
        <v>4</v>
      </c>
      <c r="B5" s="22" t="s">
        <v>57</v>
      </c>
      <c r="C5" s="22" t="s">
        <v>59</v>
      </c>
    </row>
    <row r="6" spans="1:3" ht="46.8" x14ac:dyDescent="0.3">
      <c r="A6">
        <v>5</v>
      </c>
      <c r="B6" s="22" t="s">
        <v>90</v>
      </c>
      <c r="C6" s="22" t="s">
        <v>91</v>
      </c>
    </row>
    <row r="7" spans="1:3" x14ac:dyDescent="0.3">
      <c r="A7">
        <v>6</v>
      </c>
    </row>
    <row r="8" spans="1:3" x14ac:dyDescent="0.3">
      <c r="A8">
        <v>7</v>
      </c>
    </row>
    <row r="9" spans="1:3" x14ac:dyDescent="0.3">
      <c r="A9">
        <v>8</v>
      </c>
    </row>
    <row r="10" spans="1:3" x14ac:dyDescent="0.3">
      <c r="A10">
        <v>9</v>
      </c>
    </row>
    <row r="11" spans="1:3" x14ac:dyDescent="0.3">
      <c r="A11">
        <v>10</v>
      </c>
    </row>
    <row r="12" spans="1:3" x14ac:dyDescent="0.3">
      <c r="A12">
        <v>11</v>
      </c>
    </row>
    <row r="13" spans="1:3" x14ac:dyDescent="0.3">
      <c r="A13">
        <v>12</v>
      </c>
    </row>
    <row r="14" spans="1:3" x14ac:dyDescent="0.3">
      <c r="A14">
        <v>13</v>
      </c>
    </row>
    <row r="15" spans="1:3" x14ac:dyDescent="0.3">
      <c r="A15">
        <v>14</v>
      </c>
    </row>
    <row r="16" spans="1:3" x14ac:dyDescent="0.3">
      <c r="A16">
        <v>15</v>
      </c>
    </row>
    <row r="17" spans="1:1" x14ac:dyDescent="0.3">
      <c r="A17">
        <v>16</v>
      </c>
    </row>
    <row r="18" spans="1:1" x14ac:dyDescent="0.3">
      <c r="A18">
        <v>17</v>
      </c>
    </row>
    <row r="19" spans="1:1" x14ac:dyDescent="0.3">
      <c r="A19">
        <v>18</v>
      </c>
    </row>
    <row r="20" spans="1:1" x14ac:dyDescent="0.3">
      <c r="A20">
        <v>19</v>
      </c>
    </row>
    <row r="21" spans="1:1" x14ac:dyDescent="0.3">
      <c r="A21">
        <v>20</v>
      </c>
    </row>
    <row r="22" spans="1:1" x14ac:dyDescent="0.3">
      <c r="A22">
        <v>21</v>
      </c>
    </row>
    <row r="23" spans="1:1" x14ac:dyDescent="0.3">
      <c r="A23">
        <v>22</v>
      </c>
    </row>
    <row r="24" spans="1:1" x14ac:dyDescent="0.3">
      <c r="A24">
        <v>23</v>
      </c>
    </row>
    <row r="25" spans="1:1" x14ac:dyDescent="0.3">
      <c r="A25">
        <v>24</v>
      </c>
    </row>
    <row r="26" spans="1:1" x14ac:dyDescent="0.3">
      <c r="A26">
        <v>25</v>
      </c>
    </row>
    <row r="27" spans="1:1" x14ac:dyDescent="0.3">
      <c r="A27">
        <v>26</v>
      </c>
    </row>
    <row r="28" spans="1:1" x14ac:dyDescent="0.3">
      <c r="A28">
        <v>27</v>
      </c>
    </row>
    <row r="29" spans="1:1" x14ac:dyDescent="0.3">
      <c r="A29">
        <v>28</v>
      </c>
    </row>
    <row r="30" spans="1:1" x14ac:dyDescent="0.3">
      <c r="A30">
        <v>29</v>
      </c>
    </row>
    <row r="31" spans="1:1" x14ac:dyDescent="0.3">
      <c r="A31">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workbookViewId="0"/>
  </sheetViews>
  <sheetFormatPr defaultColWidth="10.59765625" defaultRowHeight="15.6" x14ac:dyDescent="0.3"/>
  <sheetData>
    <row r="2" spans="2:13" x14ac:dyDescent="0.3">
      <c r="B2" s="1" t="s">
        <v>0</v>
      </c>
      <c r="C2" s="1" t="s">
        <v>1</v>
      </c>
      <c r="D2" s="1" t="s">
        <v>2</v>
      </c>
      <c r="E2" s="2" t="s">
        <v>3</v>
      </c>
      <c r="F2" s="1" t="s">
        <v>4</v>
      </c>
      <c r="G2" s="2" t="s">
        <v>48</v>
      </c>
      <c r="H2" s="1" t="s">
        <v>8</v>
      </c>
      <c r="I2" s="1" t="s">
        <v>45</v>
      </c>
      <c r="J2" s="1" t="s">
        <v>5</v>
      </c>
      <c r="K2" s="1" t="s">
        <v>6</v>
      </c>
      <c r="L2" s="1" t="s">
        <v>7</v>
      </c>
      <c r="M2" s="1" t="s">
        <v>46</v>
      </c>
    </row>
    <row r="3" spans="2:13" x14ac:dyDescent="0.3">
      <c r="B3" s="3">
        <v>10452</v>
      </c>
      <c r="C3" s="4">
        <v>44872</v>
      </c>
      <c r="D3" t="s">
        <v>9</v>
      </c>
      <c r="E3" s="3">
        <v>3.49</v>
      </c>
      <c r="F3" s="20">
        <v>574</v>
      </c>
      <c r="G3" s="3">
        <v>0.88</v>
      </c>
      <c r="H3" t="e" vm="1">
        <v>#VALUE!</v>
      </c>
      <c r="I3" t="e" cm="1" vm="2">
        <f t="array" ref="I3">_FV(H3,"Country/region",TRUE)</f>
        <v>#VALUE!</v>
      </c>
      <c r="J3" t="s">
        <v>10</v>
      </c>
      <c r="K3" t="s">
        <v>11</v>
      </c>
      <c r="L3" t="s">
        <v>38</v>
      </c>
      <c r="M3">
        <f>Table1[[#This Row],[Price]]*Table1[[#This Row],[Quantity]]</f>
        <v>2003.2600000000002</v>
      </c>
    </row>
    <row r="4" spans="2:13" x14ac:dyDescent="0.3">
      <c r="B4" s="3">
        <v>10453</v>
      </c>
      <c r="C4" s="4">
        <v>44872</v>
      </c>
      <c r="D4" t="s">
        <v>14</v>
      </c>
      <c r="E4" s="3">
        <v>2.95</v>
      </c>
      <c r="F4" s="20">
        <v>746</v>
      </c>
      <c r="G4" s="3">
        <v>0.47</v>
      </c>
      <c r="H4" t="e" vm="3">
        <v>#VALUE!</v>
      </c>
      <c r="I4" t="e" cm="1" vm="4">
        <f t="array" ref="I4">_FV(H4,"Country/region",TRUE)</f>
        <v>#VALUE!</v>
      </c>
      <c r="J4" t="s">
        <v>10</v>
      </c>
      <c r="K4" t="s">
        <v>11</v>
      </c>
      <c r="L4" t="s">
        <v>31</v>
      </c>
      <c r="M4">
        <f>Table1[[#This Row],[Price]]*Table1[[#This Row],[Quantity]]</f>
        <v>2200.7000000000003</v>
      </c>
    </row>
    <row r="5" spans="2:13" x14ac:dyDescent="0.3">
      <c r="B5" s="3">
        <v>10454</v>
      </c>
      <c r="C5" s="4">
        <v>44872</v>
      </c>
      <c r="D5" t="s">
        <v>17</v>
      </c>
      <c r="E5" s="3">
        <v>4.99</v>
      </c>
      <c r="F5" s="20">
        <v>201</v>
      </c>
      <c r="G5" s="3">
        <v>2.25</v>
      </c>
      <c r="H5" t="e" vm="5">
        <v>#VALUE!</v>
      </c>
      <c r="I5" t="e" cm="1" vm="6">
        <f t="array" ref="I5">_FV(H5,"Country/region",TRUE)</f>
        <v>#VALUE!</v>
      </c>
      <c r="J5" t="s">
        <v>18</v>
      </c>
      <c r="K5" t="s">
        <v>11</v>
      </c>
      <c r="L5" t="s">
        <v>35</v>
      </c>
      <c r="M5">
        <f>Table1[[#This Row],[Price]]*Table1[[#This Row],[Quantity]]</f>
        <v>1002.99</v>
      </c>
    </row>
    <row r="6" spans="2:13" x14ac:dyDescent="0.3">
      <c r="B6" s="3">
        <v>10455</v>
      </c>
      <c r="C6" s="4">
        <v>44873</v>
      </c>
      <c r="D6" t="s">
        <v>21</v>
      </c>
      <c r="E6" s="3">
        <v>12.99</v>
      </c>
      <c r="F6" s="20">
        <v>570</v>
      </c>
      <c r="G6" s="3">
        <v>4.32</v>
      </c>
      <c r="H6" t="e" vm="7">
        <v>#VALUE!</v>
      </c>
      <c r="I6" t="e" cm="1" vm="8">
        <f t="array" ref="I6">_FV(H6,"Country/region",TRUE)</f>
        <v>#VALUE!</v>
      </c>
      <c r="J6" t="s">
        <v>18</v>
      </c>
      <c r="K6" t="s">
        <v>22</v>
      </c>
      <c r="L6" t="s">
        <v>23</v>
      </c>
      <c r="M6">
        <f>Table1[[#This Row],[Price]]*Table1[[#This Row],[Quantity]]</f>
        <v>7404.3</v>
      </c>
    </row>
    <row r="7" spans="2:13" x14ac:dyDescent="0.3">
      <c r="B7" s="3">
        <v>10456</v>
      </c>
      <c r="C7" s="4">
        <v>44873</v>
      </c>
      <c r="D7" t="s">
        <v>25</v>
      </c>
      <c r="E7" s="3">
        <v>9.9499999999999993</v>
      </c>
      <c r="F7" s="20">
        <v>202</v>
      </c>
      <c r="G7" s="3">
        <v>2.85</v>
      </c>
      <c r="H7" t="e" vm="7">
        <v>#VALUE!</v>
      </c>
      <c r="I7" t="e" cm="1" vm="8">
        <f t="array" ref="I7">_FV(H7,"Country/region",TRUE)</f>
        <v>#VALUE!</v>
      </c>
      <c r="J7" t="s">
        <v>18</v>
      </c>
      <c r="K7" t="s">
        <v>22</v>
      </c>
      <c r="L7" t="s">
        <v>23</v>
      </c>
      <c r="M7">
        <f>Table1[[#This Row],[Price]]*Table1[[#This Row],[Quantity]]</f>
        <v>2009.8999999999999</v>
      </c>
    </row>
    <row r="8" spans="2:13" x14ac:dyDescent="0.3">
      <c r="B8" s="3">
        <v>10457</v>
      </c>
      <c r="C8" s="4">
        <v>44873</v>
      </c>
      <c r="D8" t="s">
        <v>9</v>
      </c>
      <c r="E8" s="3">
        <v>3.49</v>
      </c>
      <c r="F8" s="20">
        <v>574</v>
      </c>
      <c r="G8" s="3">
        <v>0.88</v>
      </c>
      <c r="H8" t="e" vm="9">
        <v>#VALUE!</v>
      </c>
      <c r="I8" t="e" cm="1" vm="10">
        <f t="array" ref="I8">_FV(H8,"Country/region",TRUE)</f>
        <v>#VALUE!</v>
      </c>
      <c r="J8" t="s">
        <v>18</v>
      </c>
      <c r="K8" t="s">
        <v>22</v>
      </c>
      <c r="L8" t="s">
        <v>28</v>
      </c>
      <c r="M8">
        <f>Table1[[#This Row],[Price]]*Table1[[#This Row],[Quantity]]</f>
        <v>2003.2600000000002</v>
      </c>
    </row>
    <row r="9" spans="2:13" x14ac:dyDescent="0.3">
      <c r="B9" s="3">
        <v>10459</v>
      </c>
      <c r="C9" s="4">
        <v>44873</v>
      </c>
      <c r="D9" t="s">
        <v>17</v>
      </c>
      <c r="E9" s="3">
        <v>4.99</v>
      </c>
      <c r="F9" s="20">
        <v>201</v>
      </c>
      <c r="G9" s="3">
        <v>2.25</v>
      </c>
      <c r="H9" t="e" vm="9">
        <v>#VALUE!</v>
      </c>
      <c r="I9" t="e" cm="1" vm="10">
        <f t="array" ref="I9">_FV(H9,"Country/region",TRUE)</f>
        <v>#VALUE!</v>
      </c>
      <c r="J9" t="s">
        <v>18</v>
      </c>
      <c r="K9" t="s">
        <v>22</v>
      </c>
      <c r="L9" t="s">
        <v>28</v>
      </c>
      <c r="M9">
        <f>Table1[[#This Row],[Price]]*Table1[[#This Row],[Quantity]]</f>
        <v>1002.99</v>
      </c>
    </row>
    <row r="10" spans="2:13" x14ac:dyDescent="0.3">
      <c r="B10" s="3">
        <v>10460</v>
      </c>
      <c r="C10" s="4">
        <v>44874</v>
      </c>
      <c r="D10" t="s">
        <v>21</v>
      </c>
      <c r="E10" s="3">
        <v>12.99</v>
      </c>
      <c r="F10" s="20">
        <v>555</v>
      </c>
      <c r="G10" s="3">
        <v>4.32</v>
      </c>
      <c r="H10" t="e" vm="7">
        <v>#VALUE!</v>
      </c>
      <c r="I10" t="e" cm="1" vm="8">
        <f t="array" ref="I10">_FV(H10,"Country/region",TRUE)</f>
        <v>#VALUE!</v>
      </c>
      <c r="J10" t="s">
        <v>18</v>
      </c>
      <c r="K10" t="s">
        <v>22</v>
      </c>
      <c r="L10" t="s">
        <v>23</v>
      </c>
      <c r="M10">
        <f>Table1[[#This Row],[Price]]*Table1[[#This Row],[Quantity]]</f>
        <v>7209.45</v>
      </c>
    </row>
    <row r="11" spans="2:13" x14ac:dyDescent="0.3">
      <c r="B11" s="3">
        <v>10461</v>
      </c>
      <c r="C11" s="4">
        <v>44874</v>
      </c>
      <c r="D11" t="s">
        <v>25</v>
      </c>
      <c r="E11" s="3">
        <v>9.9499999999999993</v>
      </c>
      <c r="F11" s="20">
        <v>202</v>
      </c>
      <c r="G11" s="3">
        <v>2.85</v>
      </c>
      <c r="H11" t="e" vm="9">
        <v>#VALUE!</v>
      </c>
      <c r="I11" t="e" cm="1" vm="10">
        <f t="array" ref="I11">_FV(H11,"Country/region",TRUE)</f>
        <v>#VALUE!</v>
      </c>
      <c r="J11" t="s">
        <v>18</v>
      </c>
      <c r="K11" t="s">
        <v>22</v>
      </c>
      <c r="L11" t="s">
        <v>28</v>
      </c>
      <c r="M11">
        <f>Table1[[#This Row],[Price]]*Table1[[#This Row],[Quantity]]</f>
        <v>2009.8999999999999</v>
      </c>
    </row>
    <row r="12" spans="2:13" x14ac:dyDescent="0.3">
      <c r="B12" s="3">
        <v>10462</v>
      </c>
      <c r="C12" s="4">
        <v>44874</v>
      </c>
      <c r="D12" t="s">
        <v>9</v>
      </c>
      <c r="E12" s="3">
        <v>3.49</v>
      </c>
      <c r="F12" s="20">
        <v>574</v>
      </c>
      <c r="G12" s="3">
        <v>0.88</v>
      </c>
      <c r="H12" t="e" vm="9">
        <v>#VALUE!</v>
      </c>
      <c r="I12" t="e" cm="1" vm="10">
        <f t="array" ref="I12">_FV(H12,"Country/region",TRUE)</f>
        <v>#VALUE!</v>
      </c>
      <c r="J12" t="s">
        <v>18</v>
      </c>
      <c r="K12" t="s">
        <v>22</v>
      </c>
      <c r="L12" t="s">
        <v>28</v>
      </c>
      <c r="M12">
        <f>Table1[[#This Row],[Price]]*Table1[[#This Row],[Quantity]]</f>
        <v>2003.2600000000002</v>
      </c>
    </row>
    <row r="13" spans="2:13" x14ac:dyDescent="0.3">
      <c r="B13" s="3">
        <v>10463</v>
      </c>
      <c r="C13" s="4">
        <v>44874</v>
      </c>
      <c r="D13" t="s">
        <v>14</v>
      </c>
      <c r="E13" s="3">
        <v>2.95</v>
      </c>
      <c r="F13" s="20">
        <v>678</v>
      </c>
      <c r="G13" s="3">
        <v>0.47</v>
      </c>
      <c r="H13" t="e" vm="9">
        <v>#VALUE!</v>
      </c>
      <c r="I13" t="e" cm="1" vm="10">
        <f t="array" ref="I13">_FV(H13,"Country/region",TRUE)</f>
        <v>#VALUE!</v>
      </c>
      <c r="J13" t="s">
        <v>18</v>
      </c>
      <c r="K13" t="s">
        <v>22</v>
      </c>
      <c r="L13" t="s">
        <v>28</v>
      </c>
      <c r="M13">
        <f>Table1[[#This Row],[Price]]*Table1[[#This Row],[Quantity]]</f>
        <v>2000.1000000000001</v>
      </c>
    </row>
    <row r="14" spans="2:13" x14ac:dyDescent="0.3">
      <c r="B14" s="3">
        <v>10464</v>
      </c>
      <c r="C14" s="4">
        <v>44874</v>
      </c>
      <c r="D14" t="s">
        <v>17</v>
      </c>
      <c r="E14" s="3">
        <v>4.99</v>
      </c>
      <c r="F14" s="20">
        <v>201</v>
      </c>
      <c r="G14" s="3">
        <v>2.25</v>
      </c>
      <c r="H14" t="e" vm="9">
        <v>#VALUE!</v>
      </c>
      <c r="I14" t="e" cm="1" vm="10">
        <f t="array" ref="I14">_FV(H14,"Country/region",TRUE)</f>
        <v>#VALUE!</v>
      </c>
      <c r="J14" t="s">
        <v>18</v>
      </c>
      <c r="K14" t="s">
        <v>22</v>
      </c>
      <c r="L14" t="s">
        <v>28</v>
      </c>
      <c r="M14">
        <f>Table1[[#This Row],[Price]]*Table1[[#This Row],[Quantity]]</f>
        <v>1002.99</v>
      </c>
    </row>
    <row r="15" spans="2:13" x14ac:dyDescent="0.3">
      <c r="B15" s="3">
        <v>10465</v>
      </c>
      <c r="C15" s="4">
        <v>44875</v>
      </c>
      <c r="D15" t="s">
        <v>21</v>
      </c>
      <c r="E15" s="3">
        <v>12.99</v>
      </c>
      <c r="F15" s="20">
        <v>555</v>
      </c>
      <c r="G15" s="3">
        <v>4.32</v>
      </c>
      <c r="H15" t="e" vm="3">
        <v>#VALUE!</v>
      </c>
      <c r="I15" t="e" cm="1" vm="4">
        <f t="array" ref="I15">_FV(H15,"Country/region",TRUE)</f>
        <v>#VALUE!</v>
      </c>
      <c r="J15" t="s">
        <v>18</v>
      </c>
      <c r="K15" t="s">
        <v>22</v>
      </c>
      <c r="L15" t="s">
        <v>31</v>
      </c>
      <c r="M15">
        <f>Table1[[#This Row],[Price]]*Table1[[#This Row],[Quantity]]</f>
        <v>7209.45</v>
      </c>
    </row>
    <row r="16" spans="2:13" x14ac:dyDescent="0.3">
      <c r="B16" s="3">
        <v>10466</v>
      </c>
      <c r="C16" s="4">
        <v>44875</v>
      </c>
      <c r="D16" t="s">
        <v>25</v>
      </c>
      <c r="E16" s="3">
        <v>9.9499999999999993</v>
      </c>
      <c r="F16" s="20">
        <v>202</v>
      </c>
      <c r="G16" s="3">
        <v>2.85</v>
      </c>
      <c r="H16" t="e" vm="3">
        <v>#VALUE!</v>
      </c>
      <c r="I16" t="e" cm="1" vm="4">
        <f t="array" ref="I16">_FV(H16,"Country/region",TRUE)</f>
        <v>#VALUE!</v>
      </c>
      <c r="J16" t="s">
        <v>18</v>
      </c>
      <c r="K16" t="s">
        <v>22</v>
      </c>
      <c r="L16" t="s">
        <v>31</v>
      </c>
      <c r="M16">
        <f>Table1[[#This Row],[Price]]*Table1[[#This Row],[Quantity]]</f>
        <v>2009.8999999999999</v>
      </c>
    </row>
    <row r="17" spans="2:13" x14ac:dyDescent="0.3">
      <c r="B17" s="3">
        <v>10467</v>
      </c>
      <c r="C17" s="4">
        <v>44875</v>
      </c>
      <c r="D17" t="s">
        <v>9</v>
      </c>
      <c r="E17" s="3">
        <v>3.49</v>
      </c>
      <c r="F17" s="20">
        <v>574</v>
      </c>
      <c r="G17" s="3">
        <v>0.88</v>
      </c>
      <c r="H17" t="e" vm="3">
        <v>#VALUE!</v>
      </c>
      <c r="I17" t="e" cm="1" vm="4">
        <f t="array" ref="I17">_FV(H17,"Country/region",TRUE)</f>
        <v>#VALUE!</v>
      </c>
      <c r="J17" t="s">
        <v>18</v>
      </c>
      <c r="K17" t="s">
        <v>22</v>
      </c>
      <c r="L17" t="s">
        <v>31</v>
      </c>
      <c r="M17">
        <f>Table1[[#This Row],[Price]]*Table1[[#This Row],[Quantity]]</f>
        <v>2003.2600000000002</v>
      </c>
    </row>
    <row r="18" spans="2:13" x14ac:dyDescent="0.3">
      <c r="B18" s="3">
        <v>10468</v>
      </c>
      <c r="C18" s="4">
        <v>44875</v>
      </c>
      <c r="D18" t="s">
        <v>14</v>
      </c>
      <c r="E18" s="3">
        <v>2.95</v>
      </c>
      <c r="F18" s="20">
        <v>678</v>
      </c>
      <c r="G18" s="3">
        <v>0.47</v>
      </c>
      <c r="H18" t="e" vm="3">
        <v>#VALUE!</v>
      </c>
      <c r="I18" t="e" cm="1" vm="4">
        <f t="array" ref="I18">_FV(H18,"Country/region",TRUE)</f>
        <v>#VALUE!</v>
      </c>
      <c r="J18" t="s">
        <v>18</v>
      </c>
      <c r="K18" t="s">
        <v>22</v>
      </c>
      <c r="L18" t="s">
        <v>31</v>
      </c>
      <c r="M18">
        <f>Table1[[#This Row],[Price]]*Table1[[#This Row],[Quantity]]</f>
        <v>2000.1000000000001</v>
      </c>
    </row>
    <row r="19" spans="2:13" x14ac:dyDescent="0.3">
      <c r="B19" s="3">
        <v>10470</v>
      </c>
      <c r="C19" s="4">
        <v>44876</v>
      </c>
      <c r="D19" t="s">
        <v>21</v>
      </c>
      <c r="E19" s="3">
        <v>12.99</v>
      </c>
      <c r="F19" s="20">
        <v>555</v>
      </c>
      <c r="G19" s="3">
        <v>4.32</v>
      </c>
      <c r="H19" t="e" vm="3">
        <v>#VALUE!</v>
      </c>
      <c r="I19" t="e" cm="1" vm="4">
        <f t="array" ref="I19">_FV(H19,"Country/region",TRUE)</f>
        <v>#VALUE!</v>
      </c>
      <c r="J19" t="s">
        <v>18</v>
      </c>
      <c r="K19" t="s">
        <v>22</v>
      </c>
      <c r="L19" t="s">
        <v>31</v>
      </c>
      <c r="M19">
        <f>Table1[[#This Row],[Price]]*Table1[[#This Row],[Quantity]]</f>
        <v>7209.45</v>
      </c>
    </row>
    <row r="20" spans="2:13" x14ac:dyDescent="0.3">
      <c r="B20" s="3">
        <v>10471</v>
      </c>
      <c r="C20" s="4">
        <v>44876</v>
      </c>
      <c r="D20" t="s">
        <v>25</v>
      </c>
      <c r="E20" s="3">
        <v>9.9499999999999993</v>
      </c>
      <c r="F20" s="20">
        <v>202</v>
      </c>
      <c r="G20" s="3">
        <v>2.85</v>
      </c>
      <c r="H20" t="e" vm="3">
        <v>#VALUE!</v>
      </c>
      <c r="I20" t="e" cm="1" vm="4">
        <f t="array" ref="I20">_FV(H20,"Country/region",TRUE)</f>
        <v>#VALUE!</v>
      </c>
      <c r="J20" t="s">
        <v>18</v>
      </c>
      <c r="K20" t="s">
        <v>22</v>
      </c>
      <c r="L20" t="s">
        <v>31</v>
      </c>
      <c r="M20">
        <f>Table1[[#This Row],[Price]]*Table1[[#This Row],[Quantity]]</f>
        <v>2009.8999999999999</v>
      </c>
    </row>
    <row r="21" spans="2:13" x14ac:dyDescent="0.3">
      <c r="B21" s="3">
        <v>10472</v>
      </c>
      <c r="C21" s="4">
        <v>44876</v>
      </c>
      <c r="D21" t="s">
        <v>9</v>
      </c>
      <c r="E21" s="3">
        <v>3.49</v>
      </c>
      <c r="F21" s="20">
        <v>631</v>
      </c>
      <c r="G21" s="3">
        <v>0.88</v>
      </c>
      <c r="H21" t="e" vm="3">
        <v>#VALUE!</v>
      </c>
      <c r="I21" t="e" cm="1" vm="4">
        <f t="array" ref="I21">_FV(H21,"Country/region",TRUE)</f>
        <v>#VALUE!</v>
      </c>
      <c r="J21" t="s">
        <v>18</v>
      </c>
      <c r="K21" t="s">
        <v>22</v>
      </c>
      <c r="L21" t="s">
        <v>31</v>
      </c>
      <c r="M21">
        <f>Table1[[#This Row],[Price]]*Table1[[#This Row],[Quantity]]</f>
        <v>2202.19</v>
      </c>
    </row>
    <row r="22" spans="2:13" x14ac:dyDescent="0.3">
      <c r="B22" s="3">
        <v>10473</v>
      </c>
      <c r="C22" s="4">
        <v>44876</v>
      </c>
      <c r="D22" t="s">
        <v>14</v>
      </c>
      <c r="E22" s="3">
        <v>2.95</v>
      </c>
      <c r="F22" s="20">
        <v>678</v>
      </c>
      <c r="G22" s="3">
        <v>0.47</v>
      </c>
      <c r="H22" t="e" vm="3">
        <v>#VALUE!</v>
      </c>
      <c r="I22" t="e" cm="1" vm="4">
        <f t="array" ref="I22">_FV(H22,"Country/region",TRUE)</f>
        <v>#VALUE!</v>
      </c>
      <c r="J22" t="s">
        <v>18</v>
      </c>
      <c r="K22" t="s">
        <v>22</v>
      </c>
      <c r="L22" t="s">
        <v>31</v>
      </c>
      <c r="M22">
        <f>Table1[[#This Row],[Price]]*Table1[[#This Row],[Quantity]]</f>
        <v>2000.1000000000001</v>
      </c>
    </row>
    <row r="23" spans="2:13" x14ac:dyDescent="0.3">
      <c r="B23" s="3">
        <v>10474</v>
      </c>
      <c r="C23" s="4">
        <v>44876</v>
      </c>
      <c r="D23" t="s">
        <v>17</v>
      </c>
      <c r="E23" s="3">
        <v>4.99</v>
      </c>
      <c r="F23" s="20">
        <v>201</v>
      </c>
      <c r="G23" s="3">
        <v>2.25</v>
      </c>
      <c r="H23" t="e" vm="3">
        <v>#VALUE!</v>
      </c>
      <c r="I23" t="e" cm="1" vm="4">
        <f t="array" ref="I23">_FV(H23,"Country/region",TRUE)</f>
        <v>#VALUE!</v>
      </c>
      <c r="J23" t="s">
        <v>18</v>
      </c>
      <c r="K23" t="s">
        <v>22</v>
      </c>
      <c r="L23" t="s">
        <v>31</v>
      </c>
      <c r="M23">
        <f>Table1[[#This Row],[Price]]*Table1[[#This Row],[Quantity]]</f>
        <v>1002.99</v>
      </c>
    </row>
    <row r="24" spans="2:13" x14ac:dyDescent="0.3">
      <c r="B24" s="3">
        <v>10475</v>
      </c>
      <c r="C24" s="4">
        <v>44877</v>
      </c>
      <c r="D24" t="s">
        <v>21</v>
      </c>
      <c r="E24" s="3">
        <v>12.99</v>
      </c>
      <c r="F24" s="20">
        <v>524</v>
      </c>
      <c r="G24" s="3">
        <v>4.32</v>
      </c>
      <c r="H24" t="e" vm="3">
        <v>#VALUE!</v>
      </c>
      <c r="I24" t="e" cm="1" vm="4">
        <f t="array" ref="I24">_FV(H24,"Country/region",TRUE)</f>
        <v>#VALUE!</v>
      </c>
      <c r="J24" t="s">
        <v>18</v>
      </c>
      <c r="K24" t="s">
        <v>22</v>
      </c>
      <c r="L24" t="s">
        <v>31</v>
      </c>
      <c r="M24">
        <f>Table1[[#This Row],[Price]]*Table1[[#This Row],[Quantity]]</f>
        <v>6806.76</v>
      </c>
    </row>
    <row r="25" spans="2:13" x14ac:dyDescent="0.3">
      <c r="B25" s="3">
        <v>10476</v>
      </c>
      <c r="C25" s="4">
        <v>44877</v>
      </c>
      <c r="D25" t="s">
        <v>25</v>
      </c>
      <c r="E25" s="3">
        <v>9.9499999999999993</v>
      </c>
      <c r="F25" s="20">
        <v>202</v>
      </c>
      <c r="G25" s="3">
        <v>2.85</v>
      </c>
      <c r="H25" t="e" vm="3">
        <v>#VALUE!</v>
      </c>
      <c r="I25" t="e" cm="1" vm="4">
        <f t="array" ref="I25">_FV(H25,"Country/region",TRUE)</f>
        <v>#VALUE!</v>
      </c>
      <c r="J25" t="s">
        <v>18</v>
      </c>
      <c r="K25" t="s">
        <v>22</v>
      </c>
      <c r="L25" t="s">
        <v>31</v>
      </c>
      <c r="M25">
        <f>Table1[[#This Row],[Price]]*Table1[[#This Row],[Quantity]]</f>
        <v>2009.8999999999999</v>
      </c>
    </row>
    <row r="26" spans="2:13" x14ac:dyDescent="0.3">
      <c r="B26" s="3">
        <v>10477</v>
      </c>
      <c r="C26" s="4">
        <v>44877</v>
      </c>
      <c r="D26" t="s">
        <v>9</v>
      </c>
      <c r="E26" s="3">
        <v>3.49</v>
      </c>
      <c r="F26" s="20">
        <v>631</v>
      </c>
      <c r="G26" s="3">
        <v>0.88</v>
      </c>
      <c r="H26" t="e" vm="3">
        <v>#VALUE!</v>
      </c>
      <c r="I26" t="e" cm="1" vm="4">
        <f t="array" ref="I26">_FV(H26,"Country/region",TRUE)</f>
        <v>#VALUE!</v>
      </c>
      <c r="J26" t="s">
        <v>18</v>
      </c>
      <c r="K26" t="s">
        <v>22</v>
      </c>
      <c r="L26" t="s">
        <v>31</v>
      </c>
      <c r="M26">
        <f>Table1[[#This Row],[Price]]*Table1[[#This Row],[Quantity]]</f>
        <v>2202.19</v>
      </c>
    </row>
    <row r="27" spans="2:13" x14ac:dyDescent="0.3">
      <c r="B27" s="3">
        <v>10478</v>
      </c>
      <c r="C27" s="4">
        <v>44877</v>
      </c>
      <c r="D27" t="s">
        <v>14</v>
      </c>
      <c r="E27" s="3">
        <v>2.95</v>
      </c>
      <c r="F27" s="20">
        <v>678</v>
      </c>
      <c r="G27" s="3">
        <v>0.47</v>
      </c>
      <c r="H27" t="e" vm="3">
        <v>#VALUE!</v>
      </c>
      <c r="I27" t="e" cm="1" vm="4">
        <f t="array" ref="I27">_FV(H27,"Country/region",TRUE)</f>
        <v>#VALUE!</v>
      </c>
      <c r="J27" t="s">
        <v>18</v>
      </c>
      <c r="K27" t="s">
        <v>22</v>
      </c>
      <c r="L27" t="s">
        <v>31</v>
      </c>
      <c r="M27">
        <f>Table1[[#This Row],[Price]]*Table1[[#This Row],[Quantity]]</f>
        <v>2000.1000000000001</v>
      </c>
    </row>
    <row r="28" spans="2:13" x14ac:dyDescent="0.3">
      <c r="B28" s="3">
        <v>10479</v>
      </c>
      <c r="C28" s="4">
        <v>44877</v>
      </c>
      <c r="D28" t="s">
        <v>17</v>
      </c>
      <c r="E28" s="3">
        <v>4.99</v>
      </c>
      <c r="F28" s="20">
        <v>201</v>
      </c>
      <c r="G28" s="3">
        <v>2.25</v>
      </c>
      <c r="H28" t="e" vm="3">
        <v>#VALUE!</v>
      </c>
      <c r="I28" t="e" cm="1" vm="4">
        <f t="array" ref="I28">_FV(H28,"Country/region",TRUE)</f>
        <v>#VALUE!</v>
      </c>
      <c r="J28" t="s">
        <v>18</v>
      </c>
      <c r="K28" t="s">
        <v>22</v>
      </c>
      <c r="L28" t="s">
        <v>31</v>
      </c>
      <c r="M28">
        <f>Table1[[#This Row],[Price]]*Table1[[#This Row],[Quantity]]</f>
        <v>1002.99</v>
      </c>
    </row>
    <row r="29" spans="2:13" x14ac:dyDescent="0.3">
      <c r="B29" s="3">
        <v>10480</v>
      </c>
      <c r="C29" s="4">
        <v>44878</v>
      </c>
      <c r="D29" t="s">
        <v>21</v>
      </c>
      <c r="E29" s="3">
        <v>12.99</v>
      </c>
      <c r="F29" s="20">
        <v>509</v>
      </c>
      <c r="G29" s="3">
        <v>4.32</v>
      </c>
      <c r="H29" t="e" vm="3">
        <v>#VALUE!</v>
      </c>
      <c r="I29" t="e" cm="1" vm="4">
        <f t="array" ref="I29">_FV(H29,"Country/region",TRUE)</f>
        <v>#VALUE!</v>
      </c>
      <c r="J29" t="s">
        <v>18</v>
      </c>
      <c r="K29" t="s">
        <v>22</v>
      </c>
      <c r="L29" t="s">
        <v>31</v>
      </c>
      <c r="M29">
        <f>Table1[[#This Row],[Price]]*Table1[[#This Row],[Quantity]]</f>
        <v>6611.91</v>
      </c>
    </row>
    <row r="30" spans="2:13" x14ac:dyDescent="0.3">
      <c r="B30" s="3">
        <v>10481</v>
      </c>
      <c r="C30" s="4">
        <v>44878</v>
      </c>
      <c r="D30" t="s">
        <v>25</v>
      </c>
      <c r="E30" s="3">
        <v>9.9499999999999993</v>
      </c>
      <c r="F30" s="20">
        <v>202</v>
      </c>
      <c r="G30" s="3">
        <v>2.85</v>
      </c>
      <c r="H30" t="e" vm="3">
        <v>#VALUE!</v>
      </c>
      <c r="I30" t="e" cm="1" vm="4">
        <f t="array" ref="I30">_FV(H30,"Country/region",TRUE)</f>
        <v>#VALUE!</v>
      </c>
      <c r="J30" t="s">
        <v>18</v>
      </c>
      <c r="K30" t="s">
        <v>22</v>
      </c>
      <c r="L30" t="s">
        <v>31</v>
      </c>
      <c r="M30">
        <f>Table1[[#This Row],[Price]]*Table1[[#This Row],[Quantity]]</f>
        <v>2009.8999999999999</v>
      </c>
    </row>
    <row r="31" spans="2:13" x14ac:dyDescent="0.3">
      <c r="B31" s="3">
        <v>10482</v>
      </c>
      <c r="C31" s="4">
        <v>44878</v>
      </c>
      <c r="D31" t="s">
        <v>9</v>
      </c>
      <c r="E31" s="3">
        <v>25.5</v>
      </c>
      <c r="F31" s="20">
        <v>631</v>
      </c>
      <c r="G31" s="3">
        <v>0.88</v>
      </c>
      <c r="H31" t="e" vm="5">
        <v>#VALUE!</v>
      </c>
      <c r="I31" t="e" cm="1" vm="6">
        <f t="array" ref="I31">_FV(H31,"Country/region",TRUE)</f>
        <v>#VALUE!</v>
      </c>
      <c r="J31" t="s">
        <v>18</v>
      </c>
      <c r="K31" t="s">
        <v>22</v>
      </c>
      <c r="L31" t="s">
        <v>35</v>
      </c>
      <c r="M31">
        <f>Table1[[#This Row],[Price]]*Table1[[#This Row],[Quantity]]</f>
        <v>16090.5</v>
      </c>
    </row>
    <row r="32" spans="2:13" x14ac:dyDescent="0.3">
      <c r="B32" s="3">
        <v>10483</v>
      </c>
      <c r="C32" s="4">
        <v>44878</v>
      </c>
      <c r="D32" t="s">
        <v>14</v>
      </c>
      <c r="E32" s="3">
        <v>33.22</v>
      </c>
      <c r="F32" s="20">
        <v>678</v>
      </c>
      <c r="G32" s="3">
        <v>0.47</v>
      </c>
      <c r="H32" t="e" vm="5">
        <v>#VALUE!</v>
      </c>
      <c r="I32" t="e" cm="1" vm="6">
        <f t="array" ref="I32">_FV(H32,"Country/region",TRUE)</f>
        <v>#VALUE!</v>
      </c>
      <c r="J32" t="s">
        <v>18</v>
      </c>
      <c r="K32" t="s">
        <v>22</v>
      </c>
      <c r="L32" t="s">
        <v>35</v>
      </c>
      <c r="M32">
        <f>Table1[[#This Row],[Price]]*Table1[[#This Row],[Quantity]]</f>
        <v>22523.16</v>
      </c>
    </row>
    <row r="33" spans="2:13" x14ac:dyDescent="0.3">
      <c r="B33" s="3">
        <v>10484</v>
      </c>
      <c r="C33" s="4">
        <v>44878</v>
      </c>
      <c r="D33" t="s">
        <v>17</v>
      </c>
      <c r="E33" s="3">
        <v>21.44</v>
      </c>
      <c r="F33" s="20">
        <v>201</v>
      </c>
      <c r="G33" s="3">
        <v>2.25</v>
      </c>
      <c r="H33" t="e" vm="5">
        <v>#VALUE!</v>
      </c>
      <c r="I33" t="e" cm="1" vm="6">
        <f t="array" ref="I33">_FV(H33,"Country/region",TRUE)</f>
        <v>#VALUE!</v>
      </c>
      <c r="J33" t="s">
        <v>18</v>
      </c>
      <c r="K33" t="s">
        <v>22</v>
      </c>
      <c r="L33" t="s">
        <v>35</v>
      </c>
      <c r="M33">
        <f>Table1[[#This Row],[Price]]*Table1[[#This Row],[Quantity]]</f>
        <v>4309.4400000000005</v>
      </c>
    </row>
    <row r="34" spans="2:13" x14ac:dyDescent="0.3">
      <c r="B34" s="3">
        <v>10485</v>
      </c>
      <c r="C34" s="4">
        <v>44879</v>
      </c>
      <c r="D34" t="s">
        <v>21</v>
      </c>
      <c r="E34" s="3">
        <v>27.99</v>
      </c>
      <c r="F34" s="20">
        <v>524</v>
      </c>
      <c r="G34" s="3">
        <v>4.32</v>
      </c>
      <c r="H34" t="e" vm="5">
        <v>#VALUE!</v>
      </c>
      <c r="I34" t="e" cm="1" vm="6">
        <f t="array" ref="I34">_FV(H34,"Country/region",TRUE)</f>
        <v>#VALUE!</v>
      </c>
      <c r="J34" t="s">
        <v>18</v>
      </c>
      <c r="K34" t="s">
        <v>22</v>
      </c>
      <c r="L34" t="s">
        <v>35</v>
      </c>
      <c r="M34">
        <f>Table1[[#This Row],[Price]]*Table1[[#This Row],[Quantity]]</f>
        <v>14666.759999999998</v>
      </c>
    </row>
    <row r="35" spans="2:13" x14ac:dyDescent="0.3">
      <c r="B35" s="3">
        <v>10486</v>
      </c>
      <c r="C35" s="4">
        <v>44879</v>
      </c>
      <c r="D35" t="s">
        <v>25</v>
      </c>
      <c r="E35" s="3">
        <v>29.05</v>
      </c>
      <c r="F35" s="20">
        <v>202</v>
      </c>
      <c r="G35" s="3">
        <v>2.85</v>
      </c>
      <c r="H35" t="e" vm="5">
        <v>#VALUE!</v>
      </c>
      <c r="I35" t="e" cm="1" vm="6">
        <f t="array" ref="I35">_FV(H35,"Country/region",TRUE)</f>
        <v>#VALUE!</v>
      </c>
      <c r="J35" t="s">
        <v>18</v>
      </c>
      <c r="K35" t="s">
        <v>22</v>
      </c>
      <c r="L35" t="s">
        <v>35</v>
      </c>
      <c r="M35">
        <f>Table1[[#This Row],[Price]]*Table1[[#This Row],[Quantity]]</f>
        <v>5868.1</v>
      </c>
    </row>
    <row r="36" spans="2:13" x14ac:dyDescent="0.3">
      <c r="B36" s="3">
        <v>10487</v>
      </c>
      <c r="C36" s="4">
        <v>44879</v>
      </c>
      <c r="D36" t="s">
        <v>9</v>
      </c>
      <c r="E36" s="3">
        <v>3.49</v>
      </c>
      <c r="F36" s="20">
        <v>631</v>
      </c>
      <c r="G36" s="3">
        <v>0.88</v>
      </c>
      <c r="H36" t="e" vm="5">
        <v>#VALUE!</v>
      </c>
      <c r="I36" t="e" cm="1" vm="6">
        <f t="array" ref="I36">_FV(H36,"Country/region",TRUE)</f>
        <v>#VALUE!</v>
      </c>
      <c r="J36" t="s">
        <v>18</v>
      </c>
      <c r="K36" t="s">
        <v>22</v>
      </c>
      <c r="L36" t="s">
        <v>35</v>
      </c>
      <c r="M36">
        <f>Table1[[#This Row],[Price]]*Table1[[#This Row],[Quantity]]</f>
        <v>2202.19</v>
      </c>
    </row>
    <row r="37" spans="2:13" x14ac:dyDescent="0.3">
      <c r="B37" s="3">
        <v>10488</v>
      </c>
      <c r="C37" s="4">
        <v>44879</v>
      </c>
      <c r="D37" t="s">
        <v>14</v>
      </c>
      <c r="E37" s="3">
        <v>2.95</v>
      </c>
      <c r="F37" s="20">
        <v>678</v>
      </c>
      <c r="G37" s="3">
        <v>0.47</v>
      </c>
      <c r="H37" t="e" vm="5">
        <v>#VALUE!</v>
      </c>
      <c r="I37" t="e" cm="1" vm="6">
        <f t="array" ref="I37">_FV(H37,"Country/region",TRUE)</f>
        <v>#VALUE!</v>
      </c>
      <c r="J37" t="s">
        <v>18</v>
      </c>
      <c r="K37" t="s">
        <v>22</v>
      </c>
      <c r="L37" t="s">
        <v>35</v>
      </c>
      <c r="M37">
        <f>Table1[[#This Row],[Price]]*Table1[[#This Row],[Quantity]]</f>
        <v>2000.1000000000001</v>
      </c>
    </row>
    <row r="38" spans="2:13" x14ac:dyDescent="0.3">
      <c r="B38" s="3">
        <v>10489</v>
      </c>
      <c r="C38" s="4">
        <v>44879</v>
      </c>
      <c r="D38" t="s">
        <v>17</v>
      </c>
      <c r="E38" s="3">
        <v>4.99</v>
      </c>
      <c r="F38" s="20">
        <v>201</v>
      </c>
      <c r="G38" s="3">
        <v>2.25</v>
      </c>
      <c r="H38" t="e" vm="3">
        <v>#VALUE!</v>
      </c>
      <c r="I38" t="e" cm="1" vm="4">
        <f t="array" ref="I38">_FV(H38,"Country/region",TRUE)</f>
        <v>#VALUE!</v>
      </c>
      <c r="J38" t="s">
        <v>18</v>
      </c>
      <c r="K38" t="s">
        <v>22</v>
      </c>
      <c r="L38" t="s">
        <v>31</v>
      </c>
      <c r="M38">
        <f>Table1[[#This Row],[Price]]*Table1[[#This Row],[Quantity]]</f>
        <v>1002.99</v>
      </c>
    </row>
    <row r="39" spans="2:13" x14ac:dyDescent="0.3">
      <c r="B39" s="3">
        <v>10490</v>
      </c>
      <c r="C39" s="4">
        <v>44880</v>
      </c>
      <c r="D39" t="s">
        <v>21</v>
      </c>
      <c r="E39" s="3">
        <v>12.99</v>
      </c>
      <c r="F39" s="20">
        <v>509</v>
      </c>
      <c r="G39" s="3">
        <v>4.32</v>
      </c>
      <c r="H39" t="e" vm="3">
        <v>#VALUE!</v>
      </c>
      <c r="I39" t="e" cm="1" vm="4">
        <f t="array" ref="I39">_FV(H39,"Country/region",TRUE)</f>
        <v>#VALUE!</v>
      </c>
      <c r="J39" t="s">
        <v>18</v>
      </c>
      <c r="K39" t="s">
        <v>22</v>
      </c>
      <c r="L39" t="s">
        <v>31</v>
      </c>
      <c r="M39">
        <f>Table1[[#This Row],[Price]]*Table1[[#This Row],[Quantity]]</f>
        <v>6611.91</v>
      </c>
    </row>
    <row r="40" spans="2:13" x14ac:dyDescent="0.3">
      <c r="B40" s="3">
        <v>10491</v>
      </c>
      <c r="C40" s="4">
        <v>44880</v>
      </c>
      <c r="D40" t="s">
        <v>25</v>
      </c>
      <c r="E40" s="3">
        <v>9.9499999999999993</v>
      </c>
      <c r="F40" s="20">
        <v>202</v>
      </c>
      <c r="G40" s="3">
        <v>2.85</v>
      </c>
      <c r="H40" t="e" vm="3">
        <v>#VALUE!</v>
      </c>
      <c r="I40" t="e" cm="1" vm="4">
        <f t="array" ref="I40">_FV(H40,"Country/region",TRUE)</f>
        <v>#VALUE!</v>
      </c>
      <c r="J40" t="s">
        <v>18</v>
      </c>
      <c r="K40" t="s">
        <v>22</v>
      </c>
      <c r="L40" t="s">
        <v>31</v>
      </c>
      <c r="M40">
        <f>Table1[[#This Row],[Price]]*Table1[[#This Row],[Quantity]]</f>
        <v>2009.8999999999999</v>
      </c>
    </row>
    <row r="41" spans="2:13" x14ac:dyDescent="0.3">
      <c r="B41" s="3">
        <v>10492</v>
      </c>
      <c r="C41" s="4">
        <v>44880</v>
      </c>
      <c r="D41" t="s">
        <v>9</v>
      </c>
      <c r="E41" s="3">
        <v>3.49</v>
      </c>
      <c r="F41" s="20">
        <v>574</v>
      </c>
      <c r="G41" s="3">
        <v>0.88</v>
      </c>
      <c r="H41" t="e" vm="3">
        <v>#VALUE!</v>
      </c>
      <c r="I41" t="e" cm="1" vm="4">
        <f t="array" ref="I41">_FV(H41,"Country/region",TRUE)</f>
        <v>#VALUE!</v>
      </c>
      <c r="J41" t="s">
        <v>18</v>
      </c>
      <c r="K41" t="s">
        <v>22</v>
      </c>
      <c r="L41" t="s">
        <v>31</v>
      </c>
      <c r="M41">
        <f>Table1[[#This Row],[Price]]*Table1[[#This Row],[Quantity]]</f>
        <v>2003.2600000000002</v>
      </c>
    </row>
    <row r="42" spans="2:13" x14ac:dyDescent="0.3">
      <c r="B42" s="3">
        <v>10493</v>
      </c>
      <c r="C42" s="4">
        <v>44880</v>
      </c>
      <c r="D42" t="s">
        <v>14</v>
      </c>
      <c r="E42" s="3">
        <v>2.95</v>
      </c>
      <c r="F42" s="20">
        <v>678</v>
      </c>
      <c r="G42" s="3">
        <v>0.47</v>
      </c>
      <c r="H42" t="e" vm="3">
        <v>#VALUE!</v>
      </c>
      <c r="I42" t="e" cm="1" vm="4">
        <f t="array" ref="I42">_FV(H42,"Country/region",TRUE)</f>
        <v>#VALUE!</v>
      </c>
      <c r="J42" t="s">
        <v>18</v>
      </c>
      <c r="K42" t="s">
        <v>22</v>
      </c>
      <c r="L42" t="s">
        <v>31</v>
      </c>
      <c r="M42">
        <f>Table1[[#This Row],[Price]]*Table1[[#This Row],[Quantity]]</f>
        <v>2000.1000000000001</v>
      </c>
    </row>
    <row r="43" spans="2:13" x14ac:dyDescent="0.3">
      <c r="B43" s="3">
        <v>10494</v>
      </c>
      <c r="C43" s="4">
        <v>44880</v>
      </c>
      <c r="D43" t="s">
        <v>17</v>
      </c>
      <c r="E43" s="3">
        <v>4.99</v>
      </c>
      <c r="F43" s="20">
        <v>201</v>
      </c>
      <c r="G43" s="3">
        <v>2.25</v>
      </c>
      <c r="H43" t="e" vm="3">
        <v>#VALUE!</v>
      </c>
      <c r="I43" t="e" cm="1" vm="4">
        <f t="array" ref="I43">_FV(H43,"Country/region",TRUE)</f>
        <v>#VALUE!</v>
      </c>
      <c r="J43" t="s">
        <v>18</v>
      </c>
      <c r="K43" t="s">
        <v>22</v>
      </c>
      <c r="L43" t="s">
        <v>31</v>
      </c>
      <c r="M43">
        <f>Table1[[#This Row],[Price]]*Table1[[#This Row],[Quantity]]</f>
        <v>1002.99</v>
      </c>
    </row>
    <row r="44" spans="2:13" x14ac:dyDescent="0.3">
      <c r="B44" s="3">
        <v>10495</v>
      </c>
      <c r="C44" s="4">
        <v>44881</v>
      </c>
      <c r="D44" t="s">
        <v>21</v>
      </c>
      <c r="E44" s="3">
        <v>12.99</v>
      </c>
      <c r="F44" s="20">
        <v>509</v>
      </c>
      <c r="G44" s="3">
        <v>4.32</v>
      </c>
      <c r="H44" t="e" vm="3">
        <v>#VALUE!</v>
      </c>
      <c r="I44" t="e" cm="1" vm="4">
        <f t="array" ref="I44">_FV(H44,"Country/region",TRUE)</f>
        <v>#VALUE!</v>
      </c>
      <c r="J44" t="s">
        <v>18</v>
      </c>
      <c r="K44" t="s">
        <v>22</v>
      </c>
      <c r="L44" t="s">
        <v>31</v>
      </c>
      <c r="M44">
        <f>Table1[[#This Row],[Price]]*Table1[[#This Row],[Quantity]]</f>
        <v>6611.91</v>
      </c>
    </row>
    <row r="45" spans="2:13" x14ac:dyDescent="0.3">
      <c r="B45" s="3">
        <v>10496</v>
      </c>
      <c r="C45" s="4">
        <v>44881</v>
      </c>
      <c r="D45" t="s">
        <v>25</v>
      </c>
      <c r="E45" s="3">
        <v>9.9499999999999993</v>
      </c>
      <c r="F45" s="20">
        <v>202</v>
      </c>
      <c r="G45" s="3">
        <v>2.85</v>
      </c>
      <c r="H45" t="e" vm="3">
        <v>#VALUE!</v>
      </c>
      <c r="I45" t="e" cm="1" vm="4">
        <f t="array" ref="I45">_FV(H45,"Country/region",TRUE)</f>
        <v>#VALUE!</v>
      </c>
      <c r="J45" t="s">
        <v>18</v>
      </c>
      <c r="K45" t="s">
        <v>22</v>
      </c>
      <c r="L45" t="s">
        <v>31</v>
      </c>
      <c r="M45">
        <f>Table1[[#This Row],[Price]]*Table1[[#This Row],[Quantity]]</f>
        <v>2009.8999999999999</v>
      </c>
    </row>
    <row r="46" spans="2:13" x14ac:dyDescent="0.3">
      <c r="B46" s="3">
        <v>10497</v>
      </c>
      <c r="C46" s="4">
        <v>44881</v>
      </c>
      <c r="D46" t="s">
        <v>9</v>
      </c>
      <c r="E46" s="3">
        <v>3.49</v>
      </c>
      <c r="F46" s="20">
        <v>574</v>
      </c>
      <c r="G46" s="3">
        <v>0.88</v>
      </c>
      <c r="H46" t="e" vm="3">
        <v>#VALUE!</v>
      </c>
      <c r="I46" t="e" cm="1" vm="4">
        <f t="array" ref="I46">_FV(H46,"Country/region",TRUE)</f>
        <v>#VALUE!</v>
      </c>
      <c r="J46" t="s">
        <v>18</v>
      </c>
      <c r="K46" t="s">
        <v>22</v>
      </c>
      <c r="L46" t="s">
        <v>31</v>
      </c>
      <c r="M46">
        <f>Table1[[#This Row],[Price]]*Table1[[#This Row],[Quantity]]</f>
        <v>2003.2600000000002</v>
      </c>
    </row>
    <row r="47" spans="2:13" x14ac:dyDescent="0.3">
      <c r="B47" s="3">
        <v>10498</v>
      </c>
      <c r="C47" s="4">
        <v>44881</v>
      </c>
      <c r="D47" t="s">
        <v>14</v>
      </c>
      <c r="E47" s="3">
        <v>2.95</v>
      </c>
      <c r="F47" s="20">
        <v>678</v>
      </c>
      <c r="G47" s="3">
        <v>0.47</v>
      </c>
      <c r="H47" t="e" vm="3">
        <v>#VALUE!</v>
      </c>
      <c r="I47" t="e" cm="1" vm="4">
        <f t="array" ref="I47">_FV(H47,"Country/region",TRUE)</f>
        <v>#VALUE!</v>
      </c>
      <c r="J47" t="s">
        <v>36</v>
      </c>
      <c r="K47" t="s">
        <v>22</v>
      </c>
      <c r="L47" t="s">
        <v>31</v>
      </c>
      <c r="M47">
        <f>Table1[[#This Row],[Price]]*Table1[[#This Row],[Quantity]]</f>
        <v>2000.1000000000001</v>
      </c>
    </row>
    <row r="48" spans="2:13" x14ac:dyDescent="0.3">
      <c r="B48" s="3">
        <v>10499</v>
      </c>
      <c r="C48" s="4">
        <v>44881</v>
      </c>
      <c r="D48" t="s">
        <v>17</v>
      </c>
      <c r="E48" s="3">
        <v>4.99</v>
      </c>
      <c r="F48" s="20">
        <v>201</v>
      </c>
      <c r="G48" s="3">
        <v>2.25</v>
      </c>
      <c r="H48" t="e" vm="3">
        <v>#VALUE!</v>
      </c>
      <c r="I48" t="e" cm="1" vm="4">
        <f t="array" ref="I48">_FV(H48,"Country/region",TRUE)</f>
        <v>#VALUE!</v>
      </c>
      <c r="J48" t="s">
        <v>36</v>
      </c>
      <c r="K48" t="s">
        <v>22</v>
      </c>
      <c r="L48" t="s">
        <v>31</v>
      </c>
      <c r="M48">
        <f>Table1[[#This Row],[Price]]*Table1[[#This Row],[Quantity]]</f>
        <v>1002.99</v>
      </c>
    </row>
    <row r="49" spans="2:13" x14ac:dyDescent="0.3">
      <c r="B49" s="3">
        <v>10500</v>
      </c>
      <c r="C49" s="4">
        <v>44882</v>
      </c>
      <c r="D49" t="s">
        <v>21</v>
      </c>
      <c r="E49" s="3">
        <v>12.99</v>
      </c>
      <c r="F49" s="20">
        <v>524</v>
      </c>
      <c r="G49" s="3">
        <v>4.32</v>
      </c>
      <c r="H49" t="e" vm="3">
        <v>#VALUE!</v>
      </c>
      <c r="I49" t="e" cm="1" vm="4">
        <f t="array" ref="I49">_FV(H49,"Country/region",TRUE)</f>
        <v>#VALUE!</v>
      </c>
      <c r="J49" t="s">
        <v>36</v>
      </c>
      <c r="K49" t="s">
        <v>22</v>
      </c>
      <c r="L49" t="s">
        <v>31</v>
      </c>
      <c r="M49">
        <f>Table1[[#This Row],[Price]]*Table1[[#This Row],[Quantity]]</f>
        <v>6806.76</v>
      </c>
    </row>
    <row r="50" spans="2:13" x14ac:dyDescent="0.3">
      <c r="B50" s="3">
        <v>10501</v>
      </c>
      <c r="C50" s="4">
        <v>44882</v>
      </c>
      <c r="D50" t="s">
        <v>25</v>
      </c>
      <c r="E50" s="3">
        <v>9.9499999999999993</v>
      </c>
      <c r="F50" s="20">
        <v>202</v>
      </c>
      <c r="G50" s="3">
        <v>2.85</v>
      </c>
      <c r="H50" t="e" vm="3">
        <v>#VALUE!</v>
      </c>
      <c r="I50" t="e" cm="1" vm="4">
        <f t="array" ref="I50">_FV(H50,"Country/region",TRUE)</f>
        <v>#VALUE!</v>
      </c>
      <c r="J50" t="s">
        <v>36</v>
      </c>
      <c r="K50" t="s">
        <v>22</v>
      </c>
      <c r="L50" t="s">
        <v>31</v>
      </c>
      <c r="M50">
        <f>Table1[[#This Row],[Price]]*Table1[[#This Row],[Quantity]]</f>
        <v>2009.8999999999999</v>
      </c>
    </row>
    <row r="51" spans="2:13" x14ac:dyDescent="0.3">
      <c r="B51" s="3">
        <v>10502</v>
      </c>
      <c r="C51" s="4">
        <v>44882</v>
      </c>
      <c r="D51" t="s">
        <v>9</v>
      </c>
      <c r="E51" s="3">
        <v>3.49</v>
      </c>
      <c r="F51" s="20">
        <v>631</v>
      </c>
      <c r="G51" s="3">
        <v>0.88</v>
      </c>
      <c r="H51" t="e" vm="3">
        <v>#VALUE!</v>
      </c>
      <c r="I51" t="e" cm="1" vm="4">
        <f t="array" ref="I51">_FV(H51,"Country/region",TRUE)</f>
        <v>#VALUE!</v>
      </c>
      <c r="J51" t="s">
        <v>36</v>
      </c>
      <c r="K51" t="s">
        <v>22</v>
      </c>
      <c r="L51" t="s">
        <v>31</v>
      </c>
      <c r="M51">
        <f>Table1[[#This Row],[Price]]*Table1[[#This Row],[Quantity]]</f>
        <v>2202.19</v>
      </c>
    </row>
    <row r="52" spans="2:13" x14ac:dyDescent="0.3">
      <c r="B52" s="3">
        <v>10503</v>
      </c>
      <c r="C52" s="4">
        <v>44882</v>
      </c>
      <c r="D52" t="s">
        <v>14</v>
      </c>
      <c r="E52" s="3">
        <v>2.95</v>
      </c>
      <c r="F52" s="20">
        <v>678</v>
      </c>
      <c r="G52" s="3">
        <v>0.47</v>
      </c>
      <c r="H52" t="e" vm="3">
        <v>#VALUE!</v>
      </c>
      <c r="I52" t="e" cm="1" vm="4">
        <f t="array" ref="I52">_FV(H52,"Country/region",TRUE)</f>
        <v>#VALUE!</v>
      </c>
      <c r="J52" t="s">
        <v>36</v>
      </c>
      <c r="K52" t="s">
        <v>22</v>
      </c>
      <c r="L52" t="s">
        <v>31</v>
      </c>
      <c r="M52">
        <f>Table1[[#This Row],[Price]]*Table1[[#This Row],[Quantity]]</f>
        <v>2000.1000000000001</v>
      </c>
    </row>
    <row r="53" spans="2:13" x14ac:dyDescent="0.3">
      <c r="B53" s="3">
        <v>10504</v>
      </c>
      <c r="C53" s="4">
        <v>44882</v>
      </c>
      <c r="D53" t="s">
        <v>17</v>
      </c>
      <c r="E53" s="3">
        <v>4.99</v>
      </c>
      <c r="F53" s="20">
        <v>201</v>
      </c>
      <c r="G53" s="3">
        <v>2.25</v>
      </c>
      <c r="H53" t="e" vm="3">
        <v>#VALUE!</v>
      </c>
      <c r="I53" t="e" cm="1" vm="4">
        <f t="array" ref="I53">_FV(H53,"Country/region",TRUE)</f>
        <v>#VALUE!</v>
      </c>
      <c r="J53" t="s">
        <v>36</v>
      </c>
      <c r="K53" t="s">
        <v>22</v>
      </c>
      <c r="L53" t="s">
        <v>31</v>
      </c>
      <c r="M53">
        <f>Table1[[#This Row],[Price]]*Table1[[#This Row],[Quantity]]</f>
        <v>1002.99</v>
      </c>
    </row>
    <row r="54" spans="2:13" x14ac:dyDescent="0.3">
      <c r="B54" s="3">
        <v>10505</v>
      </c>
      <c r="C54" s="4">
        <v>44883</v>
      </c>
      <c r="D54" t="s">
        <v>21</v>
      </c>
      <c r="E54" s="3">
        <v>12.99</v>
      </c>
      <c r="F54" s="20">
        <v>539</v>
      </c>
      <c r="G54" s="3">
        <v>4.32</v>
      </c>
      <c r="H54" t="e" vm="3">
        <v>#VALUE!</v>
      </c>
      <c r="I54" t="e" cm="1" vm="4">
        <f t="array" ref="I54">_FV(H54,"Country/region",TRUE)</f>
        <v>#VALUE!</v>
      </c>
      <c r="J54" t="s">
        <v>36</v>
      </c>
      <c r="K54" t="s">
        <v>22</v>
      </c>
      <c r="L54" t="s">
        <v>31</v>
      </c>
      <c r="M54">
        <f>Table1[[#This Row],[Price]]*Table1[[#This Row],[Quantity]]</f>
        <v>7001.61</v>
      </c>
    </row>
    <row r="55" spans="2:13" x14ac:dyDescent="0.3">
      <c r="B55" s="3">
        <v>10506</v>
      </c>
      <c r="C55" s="4">
        <v>44883</v>
      </c>
      <c r="D55" t="s">
        <v>25</v>
      </c>
      <c r="E55" s="3">
        <v>9.9499999999999993</v>
      </c>
      <c r="F55" s="20">
        <v>202</v>
      </c>
      <c r="G55" s="3">
        <v>2.85</v>
      </c>
      <c r="H55" t="e" vm="3">
        <v>#VALUE!</v>
      </c>
      <c r="I55" t="e" cm="1" vm="4">
        <f t="array" ref="I55">_FV(H55,"Country/region",TRUE)</f>
        <v>#VALUE!</v>
      </c>
      <c r="J55" t="s">
        <v>36</v>
      </c>
      <c r="K55" t="s">
        <v>22</v>
      </c>
      <c r="L55" t="s">
        <v>31</v>
      </c>
      <c r="M55">
        <f>Table1[[#This Row],[Price]]*Table1[[#This Row],[Quantity]]</f>
        <v>2009.8999999999999</v>
      </c>
    </row>
    <row r="56" spans="2:13" x14ac:dyDescent="0.3">
      <c r="B56" s="3">
        <v>10507</v>
      </c>
      <c r="C56" s="4">
        <v>44883</v>
      </c>
      <c r="D56" t="s">
        <v>9</v>
      </c>
      <c r="E56" s="3">
        <v>3.49</v>
      </c>
      <c r="F56" s="20">
        <v>688</v>
      </c>
      <c r="G56" s="3">
        <v>0.88</v>
      </c>
      <c r="H56" t="e" vm="3">
        <v>#VALUE!</v>
      </c>
      <c r="I56" t="e" cm="1" vm="4">
        <f t="array" ref="I56">_FV(H56,"Country/region",TRUE)</f>
        <v>#VALUE!</v>
      </c>
      <c r="J56" t="s">
        <v>36</v>
      </c>
      <c r="K56" t="s">
        <v>22</v>
      </c>
      <c r="L56" t="s">
        <v>31</v>
      </c>
      <c r="M56">
        <f>Table1[[#This Row],[Price]]*Table1[[#This Row],[Quantity]]</f>
        <v>2401.1200000000003</v>
      </c>
    </row>
    <row r="57" spans="2:13" x14ac:dyDescent="0.3">
      <c r="B57" s="3">
        <v>10508</v>
      </c>
      <c r="C57" s="4">
        <v>44883</v>
      </c>
      <c r="D57" t="s">
        <v>14</v>
      </c>
      <c r="E57" s="3">
        <v>2.95</v>
      </c>
      <c r="F57" s="20">
        <v>678</v>
      </c>
      <c r="G57" s="3">
        <v>0.47</v>
      </c>
      <c r="H57" t="e" vm="3">
        <v>#VALUE!</v>
      </c>
      <c r="I57" t="e" cm="1" vm="4">
        <f t="array" ref="I57">_FV(H57,"Country/region",TRUE)</f>
        <v>#VALUE!</v>
      </c>
      <c r="J57" t="s">
        <v>36</v>
      </c>
      <c r="K57" t="s">
        <v>22</v>
      </c>
      <c r="L57" t="s">
        <v>31</v>
      </c>
      <c r="M57">
        <f>Table1[[#This Row],[Price]]*Table1[[#This Row],[Quantity]]</f>
        <v>2000.1000000000001</v>
      </c>
    </row>
    <row r="58" spans="2:13" x14ac:dyDescent="0.3">
      <c r="B58" s="3">
        <v>10509</v>
      </c>
      <c r="C58" s="4">
        <v>44883</v>
      </c>
      <c r="D58" t="s">
        <v>17</v>
      </c>
      <c r="E58" s="3">
        <v>4.99</v>
      </c>
      <c r="F58" s="20">
        <v>201</v>
      </c>
      <c r="G58" s="3">
        <v>2.25</v>
      </c>
      <c r="H58" t="e" vm="3">
        <v>#VALUE!</v>
      </c>
      <c r="I58" t="e" cm="1" vm="4">
        <f t="array" ref="I58">_FV(H58,"Country/region",TRUE)</f>
        <v>#VALUE!</v>
      </c>
      <c r="J58" t="s">
        <v>36</v>
      </c>
      <c r="K58" t="s">
        <v>22</v>
      </c>
      <c r="L58" t="s">
        <v>31</v>
      </c>
      <c r="M58">
        <f>Table1[[#This Row],[Price]]*Table1[[#This Row],[Quantity]]</f>
        <v>1002.99</v>
      </c>
    </row>
    <row r="59" spans="2:13" x14ac:dyDescent="0.3">
      <c r="B59" s="3">
        <v>10510</v>
      </c>
      <c r="C59" s="4">
        <v>44884</v>
      </c>
      <c r="D59" t="s">
        <v>21</v>
      </c>
      <c r="E59" s="3">
        <v>12.99</v>
      </c>
      <c r="F59" s="20">
        <v>509</v>
      </c>
      <c r="G59" s="3">
        <v>4.32</v>
      </c>
      <c r="H59" t="e" vm="3">
        <v>#VALUE!</v>
      </c>
      <c r="I59" t="e" cm="1" vm="4">
        <f t="array" ref="I59">_FV(H59,"Country/region",TRUE)</f>
        <v>#VALUE!</v>
      </c>
      <c r="J59" t="s">
        <v>36</v>
      </c>
      <c r="K59" t="s">
        <v>22</v>
      </c>
      <c r="L59" t="s">
        <v>31</v>
      </c>
      <c r="M59">
        <f>Table1[[#This Row],[Price]]*Table1[[#This Row],[Quantity]]</f>
        <v>6611.91</v>
      </c>
    </row>
    <row r="60" spans="2:13" x14ac:dyDescent="0.3">
      <c r="B60" s="3">
        <v>10511</v>
      </c>
      <c r="C60" s="4">
        <v>44884</v>
      </c>
      <c r="D60" t="s">
        <v>25</v>
      </c>
      <c r="E60" s="3">
        <v>9.9499999999999993</v>
      </c>
      <c r="F60" s="20">
        <v>202</v>
      </c>
      <c r="G60" s="3">
        <v>2.85</v>
      </c>
      <c r="H60" t="e" vm="5">
        <v>#VALUE!</v>
      </c>
      <c r="I60" t="e" cm="1" vm="6">
        <f t="array" ref="I60">_FV(H60,"Country/region",TRUE)</f>
        <v>#VALUE!</v>
      </c>
      <c r="J60" t="s">
        <v>36</v>
      </c>
      <c r="K60" t="s">
        <v>22</v>
      </c>
      <c r="L60" t="s">
        <v>35</v>
      </c>
      <c r="M60">
        <f>Table1[[#This Row],[Price]]*Table1[[#This Row],[Quantity]]</f>
        <v>2009.8999999999999</v>
      </c>
    </row>
    <row r="61" spans="2:13" x14ac:dyDescent="0.3">
      <c r="B61" s="3">
        <v>10512</v>
      </c>
      <c r="C61" s="4">
        <v>44884</v>
      </c>
      <c r="D61" t="s">
        <v>9</v>
      </c>
      <c r="E61" s="3">
        <v>3.49</v>
      </c>
      <c r="F61" s="20">
        <v>688</v>
      </c>
      <c r="G61" s="3">
        <v>0.88</v>
      </c>
      <c r="H61" t="e" vm="5">
        <v>#VALUE!</v>
      </c>
      <c r="I61" t="e" cm="1" vm="6">
        <f t="array" ref="I61">_FV(H61,"Country/region",TRUE)</f>
        <v>#VALUE!</v>
      </c>
      <c r="J61" t="s">
        <v>36</v>
      </c>
      <c r="K61" t="s">
        <v>22</v>
      </c>
      <c r="L61" t="s">
        <v>35</v>
      </c>
      <c r="M61">
        <f>Table1[[#This Row],[Price]]*Table1[[#This Row],[Quantity]]</f>
        <v>2401.1200000000003</v>
      </c>
    </row>
    <row r="62" spans="2:13" x14ac:dyDescent="0.3">
      <c r="B62" s="3">
        <v>10513</v>
      </c>
      <c r="C62" s="4">
        <v>44884</v>
      </c>
      <c r="D62" t="s">
        <v>14</v>
      </c>
      <c r="E62" s="3">
        <v>2.95</v>
      </c>
      <c r="F62" s="20">
        <v>678</v>
      </c>
      <c r="G62" s="3">
        <v>0.47</v>
      </c>
      <c r="H62" t="e" vm="5">
        <v>#VALUE!</v>
      </c>
      <c r="I62" t="e" cm="1" vm="6">
        <f t="array" ref="I62">_FV(H62,"Country/region",TRUE)</f>
        <v>#VALUE!</v>
      </c>
      <c r="J62" t="s">
        <v>36</v>
      </c>
      <c r="K62" t="s">
        <v>37</v>
      </c>
      <c r="L62" t="s">
        <v>35</v>
      </c>
      <c r="M62">
        <f>Table1[[#This Row],[Price]]*Table1[[#This Row],[Quantity]]</f>
        <v>2000.1000000000001</v>
      </c>
    </row>
    <row r="63" spans="2:13" x14ac:dyDescent="0.3">
      <c r="B63" s="3">
        <v>10514</v>
      </c>
      <c r="C63" s="4">
        <v>44884</v>
      </c>
      <c r="D63" t="s">
        <v>17</v>
      </c>
      <c r="E63" s="3">
        <v>4.99</v>
      </c>
      <c r="F63" s="20">
        <v>201</v>
      </c>
      <c r="G63" s="3">
        <v>2.25</v>
      </c>
      <c r="H63" t="e" vm="5">
        <v>#VALUE!</v>
      </c>
      <c r="I63" t="e" cm="1" vm="6">
        <f t="array" ref="I63">_FV(H63,"Country/region",TRUE)</f>
        <v>#VALUE!</v>
      </c>
      <c r="J63" t="s">
        <v>36</v>
      </c>
      <c r="K63" t="s">
        <v>37</v>
      </c>
      <c r="L63" t="s">
        <v>35</v>
      </c>
      <c r="M63">
        <f>Table1[[#This Row],[Price]]*Table1[[#This Row],[Quantity]]</f>
        <v>1002.99</v>
      </c>
    </row>
    <row r="64" spans="2:13" x14ac:dyDescent="0.3">
      <c r="B64" s="3">
        <v>10515</v>
      </c>
      <c r="C64" s="4">
        <v>44885</v>
      </c>
      <c r="D64" t="s">
        <v>21</v>
      </c>
      <c r="E64" s="3">
        <v>12.99</v>
      </c>
      <c r="F64" s="20">
        <v>478</v>
      </c>
      <c r="G64" s="3">
        <v>4.32</v>
      </c>
      <c r="H64" t="e" vm="5">
        <v>#VALUE!</v>
      </c>
      <c r="I64" t="e" cm="1" vm="6">
        <f t="array" ref="I64">_FV(H64,"Country/region",TRUE)</f>
        <v>#VALUE!</v>
      </c>
      <c r="J64" t="s">
        <v>36</v>
      </c>
      <c r="K64" t="s">
        <v>37</v>
      </c>
      <c r="L64" t="s">
        <v>35</v>
      </c>
      <c r="M64">
        <f>Table1[[#This Row],[Price]]*Table1[[#This Row],[Quantity]]</f>
        <v>6209.22</v>
      </c>
    </row>
    <row r="65" spans="2:13" x14ac:dyDescent="0.3">
      <c r="B65" s="3">
        <v>10516</v>
      </c>
      <c r="C65" s="4">
        <v>44885</v>
      </c>
      <c r="D65" t="s">
        <v>25</v>
      </c>
      <c r="E65" s="3">
        <v>9.9499999999999993</v>
      </c>
      <c r="F65" s="20">
        <v>202</v>
      </c>
      <c r="G65" s="3">
        <v>2.85</v>
      </c>
      <c r="H65" t="e" vm="5">
        <v>#VALUE!</v>
      </c>
      <c r="I65" t="e" cm="1" vm="6">
        <f t="array" ref="I65">_FV(H65,"Country/region",TRUE)</f>
        <v>#VALUE!</v>
      </c>
      <c r="J65" t="s">
        <v>36</v>
      </c>
      <c r="K65" t="s">
        <v>37</v>
      </c>
      <c r="L65" t="s">
        <v>35</v>
      </c>
      <c r="M65">
        <f>Table1[[#This Row],[Price]]*Table1[[#This Row],[Quantity]]</f>
        <v>2009.8999999999999</v>
      </c>
    </row>
    <row r="66" spans="2:13" x14ac:dyDescent="0.3">
      <c r="B66" s="3">
        <v>10520</v>
      </c>
      <c r="C66" s="4">
        <v>44886</v>
      </c>
      <c r="D66" t="s">
        <v>21</v>
      </c>
      <c r="E66" s="3">
        <v>12.99</v>
      </c>
      <c r="F66" s="20">
        <v>493</v>
      </c>
      <c r="G66" s="3">
        <v>4.32</v>
      </c>
      <c r="H66" t="e" vm="9">
        <v>#VALUE!</v>
      </c>
      <c r="I66" t="e" cm="1" vm="10">
        <f t="array" ref="I66">_FV(H66,"Country/region",TRUE)</f>
        <v>#VALUE!</v>
      </c>
      <c r="J66" t="s">
        <v>36</v>
      </c>
      <c r="K66" t="s">
        <v>37</v>
      </c>
      <c r="L66" t="s">
        <v>28</v>
      </c>
      <c r="M66">
        <f>Table1[[#This Row],[Price]]*Table1[[#This Row],[Quantity]]</f>
        <v>6404.07</v>
      </c>
    </row>
    <row r="67" spans="2:13" x14ac:dyDescent="0.3">
      <c r="B67" s="3">
        <v>10521</v>
      </c>
      <c r="C67" s="4">
        <v>44886</v>
      </c>
      <c r="D67" t="s">
        <v>25</v>
      </c>
      <c r="E67" s="3">
        <v>9.9499999999999993</v>
      </c>
      <c r="F67" s="20">
        <v>202</v>
      </c>
      <c r="G67" s="3">
        <v>2.85</v>
      </c>
      <c r="H67" t="e" vm="9">
        <v>#VALUE!</v>
      </c>
      <c r="I67" t="e" cm="1" vm="10">
        <f t="array" ref="I67">_FV(H67,"Country/region",TRUE)</f>
        <v>#VALUE!</v>
      </c>
      <c r="J67" t="s">
        <v>36</v>
      </c>
      <c r="K67" t="s">
        <v>37</v>
      </c>
      <c r="L67" t="s">
        <v>28</v>
      </c>
      <c r="M67">
        <f>Table1[[#This Row],[Price]]*Table1[[#This Row],[Quantity]]</f>
        <v>2009.8999999999999</v>
      </c>
    </row>
    <row r="68" spans="2:13" x14ac:dyDescent="0.3">
      <c r="B68" s="3">
        <v>10522</v>
      </c>
      <c r="C68" s="4">
        <v>44886</v>
      </c>
      <c r="D68" t="s">
        <v>9</v>
      </c>
      <c r="E68" s="3">
        <v>3.49</v>
      </c>
      <c r="F68" s="20">
        <v>688</v>
      </c>
      <c r="G68" s="3">
        <v>0.88</v>
      </c>
      <c r="H68" t="e" vm="9">
        <v>#VALUE!</v>
      </c>
      <c r="I68" t="e" cm="1" vm="10">
        <f t="array" ref="I68">_FV(H68,"Country/region",TRUE)</f>
        <v>#VALUE!</v>
      </c>
      <c r="J68" t="s">
        <v>36</v>
      </c>
      <c r="K68" t="s">
        <v>37</v>
      </c>
      <c r="L68" t="s">
        <v>28</v>
      </c>
      <c r="M68">
        <f>Table1[[#This Row],[Price]]*Table1[[#This Row],[Quantity]]</f>
        <v>2401.1200000000003</v>
      </c>
    </row>
    <row r="69" spans="2:13" x14ac:dyDescent="0.3">
      <c r="B69" s="3">
        <v>10523</v>
      </c>
      <c r="C69" s="4">
        <v>44886</v>
      </c>
      <c r="D69" t="s">
        <v>14</v>
      </c>
      <c r="E69" s="3">
        <v>2.95</v>
      </c>
      <c r="F69" s="20">
        <v>746</v>
      </c>
      <c r="G69" s="3">
        <v>0.47</v>
      </c>
      <c r="H69" t="e" vm="9">
        <v>#VALUE!</v>
      </c>
      <c r="I69" t="e" cm="1" vm="10">
        <f t="array" ref="I69">_FV(H69,"Country/region",TRUE)</f>
        <v>#VALUE!</v>
      </c>
      <c r="J69" t="s">
        <v>36</v>
      </c>
      <c r="K69" t="s">
        <v>37</v>
      </c>
      <c r="L69" t="s">
        <v>28</v>
      </c>
      <c r="M69">
        <f>Table1[[#This Row],[Price]]*Table1[[#This Row],[Quantity]]</f>
        <v>2200.7000000000003</v>
      </c>
    </row>
    <row r="70" spans="2:13" x14ac:dyDescent="0.3">
      <c r="B70" s="3">
        <v>10524</v>
      </c>
      <c r="C70" s="4">
        <v>44886</v>
      </c>
      <c r="D70" t="s">
        <v>17</v>
      </c>
      <c r="E70" s="3">
        <v>4.99</v>
      </c>
      <c r="F70" s="20">
        <v>201</v>
      </c>
      <c r="G70" s="3">
        <v>2.25</v>
      </c>
      <c r="H70" t="e" vm="9">
        <v>#VALUE!</v>
      </c>
      <c r="I70" t="e" cm="1" vm="10">
        <f t="array" ref="I70">_FV(H70,"Country/region",TRUE)</f>
        <v>#VALUE!</v>
      </c>
      <c r="J70" t="s">
        <v>36</v>
      </c>
      <c r="K70" t="s">
        <v>37</v>
      </c>
      <c r="L70" t="s">
        <v>28</v>
      </c>
      <c r="M70">
        <f>Table1[[#This Row],[Price]]*Table1[[#This Row],[Quantity]]</f>
        <v>1002.99</v>
      </c>
    </row>
    <row r="71" spans="2:13" x14ac:dyDescent="0.3">
      <c r="B71" s="3">
        <v>10525</v>
      </c>
      <c r="C71" s="4">
        <v>44887</v>
      </c>
      <c r="D71" t="s">
        <v>21</v>
      </c>
      <c r="E71" s="3">
        <v>12.99</v>
      </c>
      <c r="F71" s="20">
        <v>462</v>
      </c>
      <c r="G71" s="3">
        <v>4.32</v>
      </c>
      <c r="H71" t="e" vm="9">
        <v>#VALUE!</v>
      </c>
      <c r="I71" t="e" cm="1" vm="10">
        <f t="array" ref="I71">_FV(H71,"Country/region",TRUE)</f>
        <v>#VALUE!</v>
      </c>
      <c r="J71" t="s">
        <v>36</v>
      </c>
      <c r="K71" t="s">
        <v>37</v>
      </c>
      <c r="L71" t="s">
        <v>28</v>
      </c>
      <c r="M71">
        <f>Table1[[#This Row],[Price]]*Table1[[#This Row],[Quantity]]</f>
        <v>6001.38</v>
      </c>
    </row>
    <row r="72" spans="2:13" x14ac:dyDescent="0.3">
      <c r="B72" s="3">
        <v>10526</v>
      </c>
      <c r="C72" s="4">
        <v>44887</v>
      </c>
      <c r="D72" t="s">
        <v>25</v>
      </c>
      <c r="E72" s="3">
        <v>9.9499999999999993</v>
      </c>
      <c r="F72" s="20">
        <v>202</v>
      </c>
      <c r="G72" s="3">
        <v>2.85</v>
      </c>
      <c r="H72" t="e" vm="9">
        <v>#VALUE!</v>
      </c>
      <c r="I72" t="e" cm="1" vm="10">
        <f t="array" ref="I72">_FV(H72,"Country/region",TRUE)</f>
        <v>#VALUE!</v>
      </c>
      <c r="J72" t="s">
        <v>36</v>
      </c>
      <c r="K72" t="s">
        <v>37</v>
      </c>
      <c r="L72" t="s">
        <v>28</v>
      </c>
      <c r="M72">
        <f>Table1[[#This Row],[Price]]*Table1[[#This Row],[Quantity]]</f>
        <v>2009.8999999999999</v>
      </c>
    </row>
    <row r="73" spans="2:13" x14ac:dyDescent="0.3">
      <c r="B73" s="3">
        <v>10527</v>
      </c>
      <c r="C73" s="4">
        <v>44887</v>
      </c>
      <c r="D73" t="s">
        <v>9</v>
      </c>
      <c r="E73" s="3">
        <v>3.49</v>
      </c>
      <c r="F73" s="20">
        <v>688</v>
      </c>
      <c r="G73" s="3">
        <v>0.88</v>
      </c>
      <c r="H73" t="e" vm="9">
        <v>#VALUE!</v>
      </c>
      <c r="I73" t="e" cm="1" vm="10">
        <f t="array" ref="I73">_FV(H73,"Country/region",TRUE)</f>
        <v>#VALUE!</v>
      </c>
      <c r="J73" t="s">
        <v>36</v>
      </c>
      <c r="K73" t="s">
        <v>37</v>
      </c>
      <c r="L73" t="s">
        <v>28</v>
      </c>
      <c r="M73">
        <f>Table1[[#This Row],[Price]]*Table1[[#This Row],[Quantity]]</f>
        <v>2401.1200000000003</v>
      </c>
    </row>
    <row r="74" spans="2:13" x14ac:dyDescent="0.3">
      <c r="B74" s="3">
        <v>10528</v>
      </c>
      <c r="C74" s="4">
        <v>44887</v>
      </c>
      <c r="D74" t="s">
        <v>14</v>
      </c>
      <c r="E74" s="3">
        <v>2.95</v>
      </c>
      <c r="F74" s="20">
        <v>746</v>
      </c>
      <c r="G74" s="3">
        <v>0.47</v>
      </c>
      <c r="H74" t="e" vm="9">
        <v>#VALUE!</v>
      </c>
      <c r="I74" t="e" cm="1" vm="10">
        <f t="array" ref="I74">_FV(H74,"Country/region",TRUE)</f>
        <v>#VALUE!</v>
      </c>
      <c r="J74" t="s">
        <v>36</v>
      </c>
      <c r="K74" t="s">
        <v>37</v>
      </c>
      <c r="L74" t="s">
        <v>28</v>
      </c>
      <c r="M74">
        <f>Table1[[#This Row],[Price]]*Table1[[#This Row],[Quantity]]</f>
        <v>2200.7000000000003</v>
      </c>
    </row>
    <row r="75" spans="2:13" x14ac:dyDescent="0.3">
      <c r="B75" s="3">
        <v>10529</v>
      </c>
      <c r="C75" s="4">
        <v>44887</v>
      </c>
      <c r="D75" t="s">
        <v>17</v>
      </c>
      <c r="E75" s="3">
        <v>4.99</v>
      </c>
      <c r="F75" s="20">
        <v>201</v>
      </c>
      <c r="G75" s="3">
        <v>2.25</v>
      </c>
      <c r="H75" t="e" vm="9">
        <v>#VALUE!</v>
      </c>
      <c r="I75" t="e" cm="1" vm="10">
        <f t="array" ref="I75">_FV(H75,"Country/region",TRUE)</f>
        <v>#VALUE!</v>
      </c>
      <c r="J75" t="s">
        <v>36</v>
      </c>
      <c r="K75" t="s">
        <v>37</v>
      </c>
      <c r="L75" t="s">
        <v>28</v>
      </c>
      <c r="M75">
        <f>Table1[[#This Row],[Price]]*Table1[[#This Row],[Quantity]]</f>
        <v>1002.99</v>
      </c>
    </row>
    <row r="76" spans="2:13" x14ac:dyDescent="0.3">
      <c r="B76" s="3">
        <v>10530</v>
      </c>
      <c r="C76" s="4">
        <v>44888</v>
      </c>
      <c r="D76" t="s">
        <v>21</v>
      </c>
      <c r="E76" s="3">
        <v>12.99</v>
      </c>
      <c r="F76" s="20">
        <v>478</v>
      </c>
      <c r="G76" s="3">
        <v>4.32</v>
      </c>
      <c r="H76" t="e" vm="9">
        <v>#VALUE!</v>
      </c>
      <c r="I76" t="e" cm="1" vm="10">
        <f t="array" ref="I76">_FV(H76,"Country/region",TRUE)</f>
        <v>#VALUE!</v>
      </c>
      <c r="J76" t="s">
        <v>36</v>
      </c>
      <c r="K76" t="s">
        <v>37</v>
      </c>
      <c r="L76" t="s">
        <v>28</v>
      </c>
      <c r="M76">
        <f>Table1[[#This Row],[Price]]*Table1[[#This Row],[Quantity]]</f>
        <v>6209.22</v>
      </c>
    </row>
    <row r="77" spans="2:13" x14ac:dyDescent="0.3">
      <c r="B77" s="3">
        <v>10531</v>
      </c>
      <c r="C77" s="4">
        <v>44888</v>
      </c>
      <c r="D77" t="s">
        <v>25</v>
      </c>
      <c r="E77" s="3">
        <v>9.9499999999999993</v>
      </c>
      <c r="F77" s="20">
        <v>202</v>
      </c>
      <c r="G77" s="3">
        <v>2.85</v>
      </c>
      <c r="H77" t="e" vm="9">
        <v>#VALUE!</v>
      </c>
      <c r="I77" t="e" cm="1" vm="10">
        <f t="array" ref="I77">_FV(H77,"Country/region",TRUE)</f>
        <v>#VALUE!</v>
      </c>
      <c r="J77" t="s">
        <v>36</v>
      </c>
      <c r="K77" t="s">
        <v>37</v>
      </c>
      <c r="L77" t="s">
        <v>28</v>
      </c>
      <c r="M77">
        <f>Table1[[#This Row],[Price]]*Table1[[#This Row],[Quantity]]</f>
        <v>2009.8999999999999</v>
      </c>
    </row>
    <row r="78" spans="2:13" x14ac:dyDescent="0.3">
      <c r="B78" s="3">
        <v>10532</v>
      </c>
      <c r="C78" s="4">
        <v>44888</v>
      </c>
      <c r="D78" t="s">
        <v>9</v>
      </c>
      <c r="E78" s="3">
        <v>3.49</v>
      </c>
      <c r="F78" s="20">
        <v>688</v>
      </c>
      <c r="G78" s="3">
        <v>0.88</v>
      </c>
      <c r="H78" t="e" vm="5">
        <v>#VALUE!</v>
      </c>
      <c r="I78" t="e" cm="1" vm="6">
        <f t="array" ref="I78">_FV(H78,"Country/region",TRUE)</f>
        <v>#VALUE!</v>
      </c>
      <c r="J78" t="s">
        <v>36</v>
      </c>
      <c r="K78" t="s">
        <v>37</v>
      </c>
      <c r="L78" t="s">
        <v>35</v>
      </c>
      <c r="M78">
        <f>Table1[[#This Row],[Price]]*Table1[[#This Row],[Quantity]]</f>
        <v>2401.1200000000003</v>
      </c>
    </row>
    <row r="79" spans="2:13" x14ac:dyDescent="0.3">
      <c r="B79" s="3">
        <v>10533</v>
      </c>
      <c r="C79" s="4">
        <v>44888</v>
      </c>
      <c r="D79" t="s">
        <v>14</v>
      </c>
      <c r="E79" s="3">
        <v>2.95</v>
      </c>
      <c r="F79" s="20">
        <v>746</v>
      </c>
      <c r="G79" s="3">
        <v>0.47</v>
      </c>
      <c r="H79" t="e" vm="5">
        <v>#VALUE!</v>
      </c>
      <c r="I79" t="e" cm="1" vm="6">
        <f t="array" ref="I79">_FV(H79,"Country/region",TRUE)</f>
        <v>#VALUE!</v>
      </c>
      <c r="J79" t="s">
        <v>36</v>
      </c>
      <c r="K79" t="s">
        <v>37</v>
      </c>
      <c r="L79" t="s">
        <v>35</v>
      </c>
      <c r="M79">
        <f>Table1[[#This Row],[Price]]*Table1[[#This Row],[Quantity]]</f>
        <v>2200.7000000000003</v>
      </c>
    </row>
    <row r="80" spans="2:13" x14ac:dyDescent="0.3">
      <c r="B80" s="3">
        <v>10534</v>
      </c>
      <c r="C80" s="4">
        <v>44888</v>
      </c>
      <c r="D80" t="s">
        <v>17</v>
      </c>
      <c r="E80" s="3">
        <v>4.99</v>
      </c>
      <c r="F80" s="20">
        <v>201</v>
      </c>
      <c r="G80" s="3">
        <v>2.25</v>
      </c>
      <c r="H80" t="e" vm="3">
        <v>#VALUE!</v>
      </c>
      <c r="I80" t="e" cm="1" vm="4">
        <f t="array" ref="I80">_FV(H80,"Country/region",TRUE)</f>
        <v>#VALUE!</v>
      </c>
      <c r="J80" t="s">
        <v>36</v>
      </c>
      <c r="K80" t="s">
        <v>37</v>
      </c>
      <c r="L80" t="s">
        <v>31</v>
      </c>
      <c r="M80">
        <f>Table1[[#This Row],[Price]]*Table1[[#This Row],[Quantity]]</f>
        <v>1002.99</v>
      </c>
    </row>
    <row r="81" spans="2:13" x14ac:dyDescent="0.3">
      <c r="B81" s="3">
        <v>10535</v>
      </c>
      <c r="C81" s="4">
        <v>44889</v>
      </c>
      <c r="D81" t="s">
        <v>21</v>
      </c>
      <c r="E81" s="3">
        <v>12.99</v>
      </c>
      <c r="F81" s="20">
        <v>478</v>
      </c>
      <c r="G81" s="3">
        <v>4.32</v>
      </c>
      <c r="H81" t="e" vm="3">
        <v>#VALUE!</v>
      </c>
      <c r="I81" t="e" cm="1" vm="4">
        <f t="array" ref="I81">_FV(H81,"Country/region",TRUE)</f>
        <v>#VALUE!</v>
      </c>
      <c r="J81" t="s">
        <v>36</v>
      </c>
      <c r="K81" t="s">
        <v>22</v>
      </c>
      <c r="L81" t="s">
        <v>31</v>
      </c>
      <c r="M81">
        <f>Table1[[#This Row],[Price]]*Table1[[#This Row],[Quantity]]</f>
        <v>6209.22</v>
      </c>
    </row>
    <row r="82" spans="2:13" x14ac:dyDescent="0.3">
      <c r="B82" s="3">
        <v>10536</v>
      </c>
      <c r="C82" s="4">
        <v>44889</v>
      </c>
      <c r="D82" t="s">
        <v>25</v>
      </c>
      <c r="E82" s="3">
        <v>9.9499999999999993</v>
      </c>
      <c r="F82" s="20">
        <v>202</v>
      </c>
      <c r="G82" s="3">
        <v>2.85</v>
      </c>
      <c r="H82" t="e" vm="3">
        <v>#VALUE!</v>
      </c>
      <c r="I82" t="e" cm="1" vm="4">
        <f t="array" ref="I82">_FV(H82,"Country/region",TRUE)</f>
        <v>#VALUE!</v>
      </c>
      <c r="J82" t="s">
        <v>36</v>
      </c>
      <c r="K82" t="s">
        <v>22</v>
      </c>
      <c r="L82" t="s">
        <v>31</v>
      </c>
      <c r="M82">
        <f>Table1[[#This Row],[Price]]*Table1[[#This Row],[Quantity]]</f>
        <v>2009.8999999999999</v>
      </c>
    </row>
    <row r="83" spans="2:13" x14ac:dyDescent="0.3">
      <c r="B83" s="3">
        <v>10537</v>
      </c>
      <c r="C83" s="4">
        <v>44889</v>
      </c>
      <c r="D83" t="s">
        <v>9</v>
      </c>
      <c r="E83" s="3">
        <v>3.49</v>
      </c>
      <c r="F83" s="20">
        <v>631</v>
      </c>
      <c r="G83" s="3">
        <v>0.88</v>
      </c>
      <c r="H83" t="e" vm="3">
        <v>#VALUE!</v>
      </c>
      <c r="I83" t="e" cm="1" vm="4">
        <f t="array" ref="I83">_FV(H83,"Country/region",TRUE)</f>
        <v>#VALUE!</v>
      </c>
      <c r="J83" t="s">
        <v>36</v>
      </c>
      <c r="K83" t="s">
        <v>22</v>
      </c>
      <c r="L83" t="s">
        <v>31</v>
      </c>
      <c r="M83">
        <f>Table1[[#This Row],[Price]]*Table1[[#This Row],[Quantity]]</f>
        <v>2202.19</v>
      </c>
    </row>
    <row r="84" spans="2:13" x14ac:dyDescent="0.3">
      <c r="B84" s="3">
        <v>10538</v>
      </c>
      <c r="C84" s="4">
        <v>44889</v>
      </c>
      <c r="D84" t="s">
        <v>14</v>
      </c>
      <c r="E84" s="3">
        <v>2.95</v>
      </c>
      <c r="F84" s="20">
        <v>746</v>
      </c>
      <c r="G84" s="3">
        <v>0.47</v>
      </c>
      <c r="H84" t="e" vm="3">
        <v>#VALUE!</v>
      </c>
      <c r="I84" t="e" cm="1" vm="4">
        <f t="array" ref="I84">_FV(H84,"Country/region",TRUE)</f>
        <v>#VALUE!</v>
      </c>
      <c r="J84" t="s">
        <v>36</v>
      </c>
      <c r="K84" t="s">
        <v>22</v>
      </c>
      <c r="L84" t="s">
        <v>31</v>
      </c>
      <c r="M84">
        <f>Table1[[#This Row],[Price]]*Table1[[#This Row],[Quantity]]</f>
        <v>2200.7000000000003</v>
      </c>
    </row>
    <row r="85" spans="2:13" x14ac:dyDescent="0.3">
      <c r="B85" s="3">
        <v>10539</v>
      </c>
      <c r="C85" s="4">
        <v>44889</v>
      </c>
      <c r="D85" t="s">
        <v>17</v>
      </c>
      <c r="E85" s="3">
        <v>4.99</v>
      </c>
      <c r="F85" s="20">
        <v>201</v>
      </c>
      <c r="G85" s="3">
        <v>2.25</v>
      </c>
      <c r="H85" t="e" vm="3">
        <v>#VALUE!</v>
      </c>
      <c r="I85" t="e" cm="1" vm="4">
        <f t="array" ref="I85">_FV(H85,"Country/region",TRUE)</f>
        <v>#VALUE!</v>
      </c>
      <c r="J85" t="s">
        <v>36</v>
      </c>
      <c r="K85" t="s">
        <v>22</v>
      </c>
      <c r="L85" t="s">
        <v>31</v>
      </c>
      <c r="M85">
        <f>Table1[[#This Row],[Price]]*Table1[[#This Row],[Quantity]]</f>
        <v>1002.99</v>
      </c>
    </row>
    <row r="86" spans="2:13" x14ac:dyDescent="0.3">
      <c r="B86" s="3">
        <v>10540</v>
      </c>
      <c r="C86" s="4">
        <v>44890</v>
      </c>
      <c r="D86" t="s">
        <v>21</v>
      </c>
      <c r="E86" s="3">
        <v>12.99</v>
      </c>
      <c r="F86" s="20">
        <v>462</v>
      </c>
      <c r="G86" s="3">
        <v>4.32</v>
      </c>
      <c r="H86" t="e" vm="3">
        <v>#VALUE!</v>
      </c>
      <c r="I86" t="e" cm="1" vm="4">
        <f t="array" ref="I86">_FV(H86,"Country/region",TRUE)</f>
        <v>#VALUE!</v>
      </c>
      <c r="J86" t="s">
        <v>36</v>
      </c>
      <c r="K86" t="s">
        <v>22</v>
      </c>
      <c r="L86" t="s">
        <v>31</v>
      </c>
      <c r="M86">
        <f>Table1[[#This Row],[Price]]*Table1[[#This Row],[Quantity]]</f>
        <v>6001.38</v>
      </c>
    </row>
    <row r="87" spans="2:13" x14ac:dyDescent="0.3">
      <c r="B87" s="3">
        <v>10541</v>
      </c>
      <c r="C87" s="4">
        <v>44890</v>
      </c>
      <c r="D87" t="s">
        <v>25</v>
      </c>
      <c r="E87" s="3">
        <v>9.9499999999999993</v>
      </c>
      <c r="F87" s="20">
        <v>202</v>
      </c>
      <c r="G87" s="3">
        <v>2.85</v>
      </c>
      <c r="H87" t="e" vm="1">
        <v>#VALUE!</v>
      </c>
      <c r="I87" t="e" cm="1" vm="2">
        <f t="array" ref="I87">_FV(H87,"Country/region",TRUE)</f>
        <v>#VALUE!</v>
      </c>
      <c r="J87" t="s">
        <v>36</v>
      </c>
      <c r="K87" t="s">
        <v>22</v>
      </c>
      <c r="L87" t="s">
        <v>38</v>
      </c>
      <c r="M87">
        <f>Table1[[#This Row],[Price]]*Table1[[#This Row],[Quantity]]</f>
        <v>2009.8999999999999</v>
      </c>
    </row>
    <row r="88" spans="2:13" x14ac:dyDescent="0.3">
      <c r="B88" s="3">
        <v>10542</v>
      </c>
      <c r="C88" s="4">
        <v>44890</v>
      </c>
      <c r="D88" t="s">
        <v>9</v>
      </c>
      <c r="E88" s="3">
        <v>3.49</v>
      </c>
      <c r="F88" s="20">
        <v>631</v>
      </c>
      <c r="G88" s="3">
        <v>0.88</v>
      </c>
      <c r="H88" t="e" vm="1">
        <v>#VALUE!</v>
      </c>
      <c r="I88" t="e" cm="1" vm="2">
        <f t="array" ref="I88">_FV(H88,"Country/region",TRUE)</f>
        <v>#VALUE!</v>
      </c>
      <c r="J88" t="s">
        <v>36</v>
      </c>
      <c r="K88" t="s">
        <v>22</v>
      </c>
      <c r="L88" t="s">
        <v>38</v>
      </c>
      <c r="M88">
        <f>Table1[[#This Row],[Price]]*Table1[[#This Row],[Quantity]]</f>
        <v>2202.19</v>
      </c>
    </row>
    <row r="89" spans="2:13" x14ac:dyDescent="0.3">
      <c r="B89" s="3">
        <v>10543</v>
      </c>
      <c r="C89" s="4">
        <v>44890</v>
      </c>
      <c r="D89" t="s">
        <v>14</v>
      </c>
      <c r="E89" s="3">
        <v>2.95</v>
      </c>
      <c r="F89" s="20">
        <v>746</v>
      </c>
      <c r="G89" s="3">
        <v>0.47</v>
      </c>
      <c r="H89" t="e" vm="1">
        <v>#VALUE!</v>
      </c>
      <c r="I89" t="e" cm="1" vm="2">
        <f t="array" ref="I89">_FV(H89,"Country/region",TRUE)</f>
        <v>#VALUE!</v>
      </c>
      <c r="J89" t="s">
        <v>36</v>
      </c>
      <c r="K89" t="s">
        <v>22</v>
      </c>
      <c r="L89" t="s">
        <v>38</v>
      </c>
      <c r="M89">
        <f>Table1[[#This Row],[Price]]*Table1[[#This Row],[Quantity]]</f>
        <v>2200.7000000000003</v>
      </c>
    </row>
    <row r="90" spans="2:13" x14ac:dyDescent="0.3">
      <c r="B90" s="3">
        <v>10544</v>
      </c>
      <c r="C90" s="4">
        <v>44890</v>
      </c>
      <c r="D90" t="s">
        <v>17</v>
      </c>
      <c r="E90" s="3">
        <v>4.99</v>
      </c>
      <c r="F90" s="20">
        <v>201</v>
      </c>
      <c r="G90" s="3">
        <v>2.25</v>
      </c>
      <c r="H90" t="e" vm="1">
        <v>#VALUE!</v>
      </c>
      <c r="I90" t="e" cm="1" vm="2">
        <f t="array" ref="I90">_FV(H90,"Country/region",TRUE)</f>
        <v>#VALUE!</v>
      </c>
      <c r="J90" t="s">
        <v>36</v>
      </c>
      <c r="K90" t="s">
        <v>22</v>
      </c>
      <c r="L90" t="s">
        <v>38</v>
      </c>
      <c r="M90">
        <f>Table1[[#This Row],[Price]]*Table1[[#This Row],[Quantity]]</f>
        <v>1002.99</v>
      </c>
    </row>
    <row r="91" spans="2:13" x14ac:dyDescent="0.3">
      <c r="B91" s="3">
        <v>10545</v>
      </c>
      <c r="C91" s="4">
        <v>44891</v>
      </c>
      <c r="D91" t="s">
        <v>21</v>
      </c>
      <c r="E91" s="3">
        <v>12.99</v>
      </c>
      <c r="F91" s="20">
        <v>447</v>
      </c>
      <c r="G91" s="3">
        <v>4.32</v>
      </c>
      <c r="H91" t="e" vm="1">
        <v>#VALUE!</v>
      </c>
      <c r="I91" t="e" cm="1" vm="2">
        <f t="array" ref="I91">_FV(H91,"Country/region",TRUE)</f>
        <v>#VALUE!</v>
      </c>
      <c r="J91" t="s">
        <v>36</v>
      </c>
      <c r="K91" t="s">
        <v>22</v>
      </c>
      <c r="L91" t="s">
        <v>38</v>
      </c>
      <c r="M91">
        <f>Table1[[#This Row],[Price]]*Table1[[#This Row],[Quantity]]</f>
        <v>5806.53</v>
      </c>
    </row>
    <row r="92" spans="2:13" x14ac:dyDescent="0.3">
      <c r="B92" s="3">
        <v>10546</v>
      </c>
      <c r="C92" s="4">
        <v>44891</v>
      </c>
      <c r="D92" t="s">
        <v>25</v>
      </c>
      <c r="E92" s="3">
        <v>9.9499999999999993</v>
      </c>
      <c r="F92" s="20">
        <v>202</v>
      </c>
      <c r="G92" s="3">
        <v>2.85</v>
      </c>
      <c r="H92" t="e" vm="1">
        <v>#VALUE!</v>
      </c>
      <c r="I92" t="e" cm="1" vm="2">
        <f t="array" ref="I92">_FV(H92,"Country/region",TRUE)</f>
        <v>#VALUE!</v>
      </c>
      <c r="J92" t="s">
        <v>36</v>
      </c>
      <c r="K92" t="s">
        <v>22</v>
      </c>
      <c r="L92" t="s">
        <v>38</v>
      </c>
      <c r="M92">
        <f>Table1[[#This Row],[Price]]*Table1[[#This Row],[Quantity]]</f>
        <v>2009.8999999999999</v>
      </c>
    </row>
    <row r="93" spans="2:13" x14ac:dyDescent="0.3">
      <c r="B93" s="3">
        <v>10547</v>
      </c>
      <c r="C93" s="4">
        <v>44891</v>
      </c>
      <c r="D93" t="s">
        <v>9</v>
      </c>
      <c r="E93" s="3">
        <v>3.49</v>
      </c>
      <c r="F93" s="20">
        <v>631</v>
      </c>
      <c r="G93" s="3">
        <v>0.88</v>
      </c>
      <c r="H93" t="e" vm="1">
        <v>#VALUE!</v>
      </c>
      <c r="I93" t="e" cm="1" vm="2">
        <f t="array" ref="I93">_FV(H93,"Country/region",TRUE)</f>
        <v>#VALUE!</v>
      </c>
      <c r="J93" t="s">
        <v>36</v>
      </c>
      <c r="K93" t="s">
        <v>22</v>
      </c>
      <c r="L93" t="s">
        <v>38</v>
      </c>
      <c r="M93">
        <f>Table1[[#This Row],[Price]]*Table1[[#This Row],[Quantity]]</f>
        <v>2202.19</v>
      </c>
    </row>
    <row r="94" spans="2:13" x14ac:dyDescent="0.3">
      <c r="B94" s="3">
        <v>10548</v>
      </c>
      <c r="C94" s="4">
        <v>44891</v>
      </c>
      <c r="D94" t="s">
        <v>14</v>
      </c>
      <c r="E94" s="3">
        <v>2.95</v>
      </c>
      <c r="F94" s="20">
        <v>746</v>
      </c>
      <c r="G94" s="3">
        <v>0.47</v>
      </c>
      <c r="H94" t="e" vm="1">
        <v>#VALUE!</v>
      </c>
      <c r="I94" t="e" cm="1" vm="2">
        <f t="array" ref="I94">_FV(H94,"Country/region",TRUE)</f>
        <v>#VALUE!</v>
      </c>
      <c r="J94" t="s">
        <v>36</v>
      </c>
      <c r="K94" t="s">
        <v>22</v>
      </c>
      <c r="L94" t="s">
        <v>38</v>
      </c>
      <c r="M94">
        <f>Table1[[#This Row],[Price]]*Table1[[#This Row],[Quantity]]</f>
        <v>2200.7000000000003</v>
      </c>
    </row>
    <row r="95" spans="2:13" x14ac:dyDescent="0.3">
      <c r="B95" s="3">
        <v>10549</v>
      </c>
      <c r="C95" s="4">
        <v>44891</v>
      </c>
      <c r="D95" t="s">
        <v>17</v>
      </c>
      <c r="E95" s="3">
        <v>4.99</v>
      </c>
      <c r="F95" s="20">
        <v>201</v>
      </c>
      <c r="G95" s="3">
        <v>2.25</v>
      </c>
      <c r="H95" t="e" vm="1">
        <v>#VALUE!</v>
      </c>
      <c r="I95" t="e" cm="1" vm="2">
        <f t="array" ref="I95">_FV(H95,"Country/region",TRUE)</f>
        <v>#VALUE!</v>
      </c>
      <c r="J95" t="s">
        <v>36</v>
      </c>
      <c r="K95" t="s">
        <v>22</v>
      </c>
      <c r="L95" t="s">
        <v>38</v>
      </c>
      <c r="M95">
        <f>Table1[[#This Row],[Price]]*Table1[[#This Row],[Quantity]]</f>
        <v>1002.99</v>
      </c>
    </row>
    <row r="96" spans="2:13" x14ac:dyDescent="0.3">
      <c r="B96" s="3">
        <v>10550</v>
      </c>
      <c r="C96" s="4">
        <v>44892</v>
      </c>
      <c r="D96" t="s">
        <v>21</v>
      </c>
      <c r="E96" s="3">
        <v>12.99</v>
      </c>
      <c r="F96" s="20">
        <v>462</v>
      </c>
      <c r="G96" s="3">
        <v>4.32</v>
      </c>
      <c r="H96" t="e" vm="1">
        <v>#VALUE!</v>
      </c>
      <c r="I96" t="e" cm="1" vm="2">
        <f t="array" ref="I96">_FV(H96,"Country/region",TRUE)</f>
        <v>#VALUE!</v>
      </c>
      <c r="J96" t="s">
        <v>36</v>
      </c>
      <c r="K96" t="s">
        <v>22</v>
      </c>
      <c r="L96" t="s">
        <v>38</v>
      </c>
      <c r="M96">
        <f>Table1[[#This Row],[Price]]*Table1[[#This Row],[Quantity]]</f>
        <v>6001.38</v>
      </c>
    </row>
    <row r="97" spans="2:13" x14ac:dyDescent="0.3">
      <c r="B97" s="3">
        <v>10551</v>
      </c>
      <c r="C97" s="4">
        <v>44892</v>
      </c>
      <c r="D97" t="s">
        <v>25</v>
      </c>
      <c r="E97" s="3">
        <v>9.9499999999999993</v>
      </c>
      <c r="F97" s="20">
        <v>202</v>
      </c>
      <c r="G97" s="3">
        <v>2.85</v>
      </c>
      <c r="H97" t="e" vm="1">
        <v>#VALUE!</v>
      </c>
      <c r="I97" t="e" cm="1" vm="2">
        <f t="array" ref="I97">_FV(H97,"Country/region",TRUE)</f>
        <v>#VALUE!</v>
      </c>
      <c r="J97" t="s">
        <v>36</v>
      </c>
      <c r="K97" t="s">
        <v>22</v>
      </c>
      <c r="L97" t="s">
        <v>38</v>
      </c>
      <c r="M97">
        <f>Table1[[#This Row],[Price]]*Table1[[#This Row],[Quantity]]</f>
        <v>2009.8999999999999</v>
      </c>
    </row>
    <row r="98" spans="2:13" x14ac:dyDescent="0.3">
      <c r="B98" s="3">
        <v>10552</v>
      </c>
      <c r="C98" s="4">
        <v>44892</v>
      </c>
      <c r="D98" t="s">
        <v>9</v>
      </c>
      <c r="E98" s="3">
        <v>3.49</v>
      </c>
      <c r="F98" s="20">
        <v>631</v>
      </c>
      <c r="G98" s="3">
        <v>0.88</v>
      </c>
      <c r="H98" t="e" vm="1">
        <v>#VALUE!</v>
      </c>
      <c r="I98" t="e" cm="1" vm="2">
        <f t="array" ref="I98">_FV(H98,"Country/region",TRUE)</f>
        <v>#VALUE!</v>
      </c>
      <c r="J98" t="s">
        <v>10</v>
      </c>
      <c r="K98" t="s">
        <v>22</v>
      </c>
      <c r="L98" t="s">
        <v>38</v>
      </c>
      <c r="M98">
        <f>Table1[[#This Row],[Price]]*Table1[[#This Row],[Quantity]]</f>
        <v>2202.19</v>
      </c>
    </row>
    <row r="99" spans="2:13" x14ac:dyDescent="0.3">
      <c r="B99" s="3">
        <v>10553</v>
      </c>
      <c r="C99" s="4">
        <v>44892</v>
      </c>
      <c r="D99" t="s">
        <v>14</v>
      </c>
      <c r="E99" s="3">
        <v>2.95</v>
      </c>
      <c r="F99" s="20">
        <v>746</v>
      </c>
      <c r="G99" s="3">
        <v>0.47</v>
      </c>
      <c r="H99" t="e" vm="1">
        <v>#VALUE!</v>
      </c>
      <c r="I99" t="e" cm="1" vm="2">
        <f t="array" ref="I99">_FV(H99,"Country/region",TRUE)</f>
        <v>#VALUE!</v>
      </c>
      <c r="J99" t="s">
        <v>10</v>
      </c>
      <c r="K99" t="s">
        <v>22</v>
      </c>
      <c r="L99" t="s">
        <v>38</v>
      </c>
      <c r="M99">
        <f>Table1[[#This Row],[Price]]*Table1[[#This Row],[Quantity]]</f>
        <v>2200.7000000000003</v>
      </c>
    </row>
    <row r="100" spans="2:13" x14ac:dyDescent="0.3">
      <c r="B100" s="3">
        <v>10554</v>
      </c>
      <c r="C100" s="4">
        <v>44892</v>
      </c>
      <c r="D100" t="s">
        <v>17</v>
      </c>
      <c r="E100" s="3">
        <v>4.99</v>
      </c>
      <c r="F100" s="20">
        <v>201</v>
      </c>
      <c r="G100" s="3">
        <v>2.25</v>
      </c>
      <c r="H100" t="e" vm="1">
        <v>#VALUE!</v>
      </c>
      <c r="I100" t="e" cm="1" vm="2">
        <f t="array" ref="I100">_FV(H100,"Country/region",TRUE)</f>
        <v>#VALUE!</v>
      </c>
      <c r="J100" t="s">
        <v>10</v>
      </c>
      <c r="K100" t="s">
        <v>22</v>
      </c>
      <c r="L100" t="s">
        <v>38</v>
      </c>
      <c r="M100">
        <f>Table1[[#This Row],[Price]]*Table1[[#This Row],[Quantity]]</f>
        <v>1002.99</v>
      </c>
    </row>
    <row r="101" spans="2:13" x14ac:dyDescent="0.3">
      <c r="B101" s="3">
        <v>10555</v>
      </c>
      <c r="C101" s="4">
        <v>44893</v>
      </c>
      <c r="D101" t="s">
        <v>21</v>
      </c>
      <c r="E101" s="3">
        <v>12.99</v>
      </c>
      <c r="F101" s="20">
        <v>478</v>
      </c>
      <c r="G101" s="3">
        <v>4.32</v>
      </c>
      <c r="H101" t="e" vm="1">
        <v>#VALUE!</v>
      </c>
      <c r="I101" t="e" cm="1" vm="2">
        <f t="array" ref="I101">_FV(H101,"Country/region",TRUE)</f>
        <v>#VALUE!</v>
      </c>
      <c r="J101" t="s">
        <v>10</v>
      </c>
      <c r="K101" t="s">
        <v>22</v>
      </c>
      <c r="L101" t="s">
        <v>38</v>
      </c>
      <c r="M101">
        <f>Table1[[#This Row],[Price]]*Table1[[#This Row],[Quantity]]</f>
        <v>6209.22</v>
      </c>
    </row>
    <row r="102" spans="2:13" x14ac:dyDescent="0.3">
      <c r="B102" s="3">
        <v>10556</v>
      </c>
      <c r="C102" s="4">
        <v>44893</v>
      </c>
      <c r="D102" t="s">
        <v>25</v>
      </c>
      <c r="E102" s="3">
        <v>9.9499999999999993</v>
      </c>
      <c r="F102" s="20">
        <v>202</v>
      </c>
      <c r="G102" s="3">
        <v>2.85</v>
      </c>
      <c r="H102" t="e" vm="1">
        <v>#VALUE!</v>
      </c>
      <c r="I102" t="e" cm="1" vm="2">
        <f t="array" ref="I102">_FV(H102,"Country/region",TRUE)</f>
        <v>#VALUE!</v>
      </c>
      <c r="J102" t="s">
        <v>10</v>
      </c>
      <c r="K102" t="s">
        <v>22</v>
      </c>
      <c r="L102" t="s">
        <v>38</v>
      </c>
      <c r="M102">
        <f>Table1[[#This Row],[Price]]*Table1[[#This Row],[Quantity]]</f>
        <v>2009.8999999999999</v>
      </c>
    </row>
    <row r="103" spans="2:13" x14ac:dyDescent="0.3">
      <c r="B103" s="3">
        <v>10557</v>
      </c>
      <c r="C103" s="4">
        <v>44893</v>
      </c>
      <c r="D103" t="s">
        <v>9</v>
      </c>
      <c r="E103" s="3">
        <v>3.49</v>
      </c>
      <c r="F103" s="20">
        <v>631</v>
      </c>
      <c r="G103" s="3">
        <v>0.88</v>
      </c>
      <c r="H103" t="e" vm="1">
        <v>#VALUE!</v>
      </c>
      <c r="I103" t="e" cm="1" vm="2">
        <f t="array" ref="I103">_FV(H103,"Country/region",TRUE)</f>
        <v>#VALUE!</v>
      </c>
      <c r="J103" t="s">
        <v>10</v>
      </c>
      <c r="K103" t="s">
        <v>22</v>
      </c>
      <c r="L103" t="s">
        <v>38</v>
      </c>
      <c r="M103">
        <f>Table1[[#This Row],[Price]]*Table1[[#This Row],[Quantity]]</f>
        <v>2202.19</v>
      </c>
    </row>
    <row r="104" spans="2:13" x14ac:dyDescent="0.3">
      <c r="B104" s="3">
        <v>10558</v>
      </c>
      <c r="C104" s="4">
        <v>44893</v>
      </c>
      <c r="D104" t="s">
        <v>14</v>
      </c>
      <c r="E104" s="3">
        <v>2.95</v>
      </c>
      <c r="F104" s="20">
        <v>678</v>
      </c>
      <c r="G104" s="3">
        <v>0.47</v>
      </c>
      <c r="H104" t="e" vm="1">
        <v>#VALUE!</v>
      </c>
      <c r="I104" t="e" cm="1" vm="2">
        <f t="array" ref="I104">_FV(H104,"Country/region",TRUE)</f>
        <v>#VALUE!</v>
      </c>
      <c r="J104" t="s">
        <v>10</v>
      </c>
      <c r="K104" t="s">
        <v>22</v>
      </c>
      <c r="L104" t="s">
        <v>38</v>
      </c>
      <c r="M104">
        <f>Table1[[#This Row],[Price]]*Table1[[#This Row],[Quantity]]</f>
        <v>2000.1000000000001</v>
      </c>
    </row>
    <row r="105" spans="2:13" x14ac:dyDescent="0.3">
      <c r="B105" s="3">
        <v>10559</v>
      </c>
      <c r="C105" s="4">
        <v>44893</v>
      </c>
      <c r="D105" t="s">
        <v>17</v>
      </c>
      <c r="E105" s="3">
        <v>4.99</v>
      </c>
      <c r="F105" s="20">
        <v>201</v>
      </c>
      <c r="G105" s="3">
        <v>2.25</v>
      </c>
      <c r="H105" t="e" vm="1">
        <v>#VALUE!</v>
      </c>
      <c r="I105" t="e" cm="1" vm="2">
        <f t="array" ref="I105">_FV(H105,"Country/region",TRUE)</f>
        <v>#VALUE!</v>
      </c>
      <c r="J105" t="s">
        <v>10</v>
      </c>
      <c r="K105" t="s">
        <v>22</v>
      </c>
      <c r="L105" t="s">
        <v>38</v>
      </c>
      <c r="M105">
        <f>Table1[[#This Row],[Price]]*Table1[[#This Row],[Quantity]]</f>
        <v>1002.99</v>
      </c>
    </row>
    <row r="106" spans="2:13" x14ac:dyDescent="0.3">
      <c r="B106" s="3">
        <v>10560</v>
      </c>
      <c r="C106" s="4">
        <v>44894</v>
      </c>
      <c r="D106" t="s">
        <v>21</v>
      </c>
      <c r="E106" s="3">
        <v>12.99</v>
      </c>
      <c r="F106" s="20">
        <v>478</v>
      </c>
      <c r="G106" s="3">
        <v>4.32</v>
      </c>
      <c r="H106" t="e" vm="1">
        <v>#VALUE!</v>
      </c>
      <c r="I106" t="e" cm="1" vm="2">
        <f t="array" ref="I106">_FV(H106,"Country/region",TRUE)</f>
        <v>#VALUE!</v>
      </c>
      <c r="J106" t="s">
        <v>10</v>
      </c>
      <c r="K106" t="s">
        <v>22</v>
      </c>
      <c r="L106" t="s">
        <v>38</v>
      </c>
      <c r="M106">
        <f>Table1[[#This Row],[Price]]*Table1[[#This Row],[Quantity]]</f>
        <v>6209.22</v>
      </c>
    </row>
    <row r="107" spans="2:13" x14ac:dyDescent="0.3">
      <c r="B107" s="3">
        <v>10561</v>
      </c>
      <c r="C107" s="4">
        <v>44894</v>
      </c>
      <c r="D107" t="s">
        <v>25</v>
      </c>
      <c r="E107" s="3">
        <v>9.9499999999999993</v>
      </c>
      <c r="F107" s="20">
        <v>202</v>
      </c>
      <c r="G107" s="3">
        <v>2.85</v>
      </c>
      <c r="H107" t="e" vm="1">
        <v>#VALUE!</v>
      </c>
      <c r="I107" t="e" cm="1" vm="2">
        <f t="array" ref="I107">_FV(H107,"Country/region",TRUE)</f>
        <v>#VALUE!</v>
      </c>
      <c r="J107" t="s">
        <v>10</v>
      </c>
      <c r="K107" t="s">
        <v>22</v>
      </c>
      <c r="L107" t="s">
        <v>38</v>
      </c>
      <c r="M107">
        <f>Table1[[#This Row],[Price]]*Table1[[#This Row],[Quantity]]</f>
        <v>2009.8999999999999</v>
      </c>
    </row>
    <row r="108" spans="2:13" x14ac:dyDescent="0.3">
      <c r="B108" s="3">
        <v>10562</v>
      </c>
      <c r="C108" s="4">
        <v>44894</v>
      </c>
      <c r="D108" t="s">
        <v>9</v>
      </c>
      <c r="E108" s="3">
        <v>3.49</v>
      </c>
      <c r="F108" s="20">
        <v>631</v>
      </c>
      <c r="G108" s="3">
        <v>0.88</v>
      </c>
      <c r="H108" t="e" vm="1">
        <v>#VALUE!</v>
      </c>
      <c r="I108" t="e" cm="1" vm="2">
        <f t="array" ref="I108">_FV(H108,"Country/region",TRUE)</f>
        <v>#VALUE!</v>
      </c>
      <c r="J108" t="s">
        <v>10</v>
      </c>
      <c r="K108" t="s">
        <v>22</v>
      </c>
      <c r="L108" t="s">
        <v>38</v>
      </c>
      <c r="M108">
        <f>Table1[[#This Row],[Price]]*Table1[[#This Row],[Quantity]]</f>
        <v>2202.19</v>
      </c>
    </row>
    <row r="109" spans="2:13" x14ac:dyDescent="0.3">
      <c r="B109" s="3">
        <v>10563</v>
      </c>
      <c r="C109" s="4">
        <v>44894</v>
      </c>
      <c r="D109" t="s">
        <v>14</v>
      </c>
      <c r="E109" s="3">
        <v>2.95</v>
      </c>
      <c r="F109" s="20">
        <v>678</v>
      </c>
      <c r="G109" s="3">
        <v>0.47</v>
      </c>
      <c r="H109" t="e" vm="1">
        <v>#VALUE!</v>
      </c>
      <c r="I109" t="e" cm="1" vm="2">
        <f t="array" ref="I109">_FV(H109,"Country/region",TRUE)</f>
        <v>#VALUE!</v>
      </c>
      <c r="J109" t="s">
        <v>10</v>
      </c>
      <c r="K109" t="s">
        <v>22</v>
      </c>
      <c r="L109" t="s">
        <v>38</v>
      </c>
      <c r="M109">
        <f>Table1[[#This Row],[Price]]*Table1[[#This Row],[Quantity]]</f>
        <v>2000.1000000000001</v>
      </c>
    </row>
    <row r="110" spans="2:13" x14ac:dyDescent="0.3">
      <c r="B110" s="3">
        <v>10564</v>
      </c>
      <c r="C110" s="4">
        <v>44894</v>
      </c>
      <c r="D110" t="s">
        <v>17</v>
      </c>
      <c r="E110" s="3">
        <v>4.99</v>
      </c>
      <c r="F110" s="20">
        <v>201</v>
      </c>
      <c r="G110" s="3">
        <v>2.25</v>
      </c>
      <c r="H110" t="e" vm="1">
        <v>#VALUE!</v>
      </c>
      <c r="I110" t="e" cm="1" vm="2">
        <f t="array" ref="I110">_FV(H110,"Country/region",TRUE)</f>
        <v>#VALUE!</v>
      </c>
      <c r="J110" t="s">
        <v>10</v>
      </c>
      <c r="K110" t="s">
        <v>22</v>
      </c>
      <c r="L110" t="s">
        <v>38</v>
      </c>
      <c r="M110">
        <f>Table1[[#This Row],[Price]]*Table1[[#This Row],[Quantity]]</f>
        <v>1002.99</v>
      </c>
    </row>
    <row r="111" spans="2:13" x14ac:dyDescent="0.3">
      <c r="B111" s="3">
        <v>10565</v>
      </c>
      <c r="C111" s="4">
        <v>44895</v>
      </c>
      <c r="D111" t="s">
        <v>21</v>
      </c>
      <c r="E111" s="3">
        <v>12.99</v>
      </c>
      <c r="F111" s="20">
        <v>493</v>
      </c>
      <c r="G111" s="3">
        <v>4.32</v>
      </c>
      <c r="H111" t="e" vm="1">
        <v>#VALUE!</v>
      </c>
      <c r="I111" t="e" cm="1" vm="2">
        <f t="array" ref="I111">_FV(H111,"Country/region",TRUE)</f>
        <v>#VALUE!</v>
      </c>
      <c r="J111" t="s">
        <v>10</v>
      </c>
      <c r="K111" t="s">
        <v>22</v>
      </c>
      <c r="L111" t="s">
        <v>38</v>
      </c>
      <c r="M111">
        <f>Table1[[#This Row],[Price]]*Table1[[#This Row],[Quantity]]</f>
        <v>6404.07</v>
      </c>
    </row>
    <row r="112" spans="2:13" x14ac:dyDescent="0.3">
      <c r="B112" s="3">
        <v>10566</v>
      </c>
      <c r="C112" s="4">
        <v>44895</v>
      </c>
      <c r="D112" t="s">
        <v>25</v>
      </c>
      <c r="E112" s="3">
        <v>9.9499999999999993</v>
      </c>
      <c r="F112" s="20">
        <v>202</v>
      </c>
      <c r="G112" s="3">
        <v>2.85</v>
      </c>
      <c r="H112" t="e" vm="1">
        <v>#VALUE!</v>
      </c>
      <c r="I112" t="e" cm="1" vm="2">
        <f t="array" ref="I112">_FV(H112,"Country/region",TRUE)</f>
        <v>#VALUE!</v>
      </c>
      <c r="J112" t="s">
        <v>10</v>
      </c>
      <c r="K112" t="s">
        <v>22</v>
      </c>
      <c r="L112" t="s">
        <v>38</v>
      </c>
      <c r="M112">
        <f>Table1[[#This Row],[Price]]*Table1[[#This Row],[Quantity]]</f>
        <v>2009.8999999999999</v>
      </c>
    </row>
    <row r="113" spans="2:13" x14ac:dyDescent="0.3">
      <c r="B113" s="3">
        <v>10567</v>
      </c>
      <c r="C113" s="4">
        <v>44895</v>
      </c>
      <c r="D113" t="s">
        <v>9</v>
      </c>
      <c r="E113" s="3">
        <v>3.49</v>
      </c>
      <c r="F113" s="20">
        <v>631</v>
      </c>
      <c r="G113" s="3">
        <v>0.88</v>
      </c>
      <c r="H113" t="e" vm="1">
        <v>#VALUE!</v>
      </c>
      <c r="I113" t="e" cm="1" vm="2">
        <f t="array" ref="I113">_FV(H113,"Country/region",TRUE)</f>
        <v>#VALUE!</v>
      </c>
      <c r="J113" t="s">
        <v>10</v>
      </c>
      <c r="K113" t="s">
        <v>22</v>
      </c>
      <c r="L113" t="s">
        <v>38</v>
      </c>
      <c r="M113">
        <f>Table1[[#This Row],[Price]]*Table1[[#This Row],[Quantity]]</f>
        <v>2202.19</v>
      </c>
    </row>
    <row r="114" spans="2:13" x14ac:dyDescent="0.3">
      <c r="B114" s="3">
        <v>10568</v>
      </c>
      <c r="C114" s="4">
        <v>44895</v>
      </c>
      <c r="D114" t="s">
        <v>14</v>
      </c>
      <c r="E114" s="3">
        <v>2.95</v>
      </c>
      <c r="F114" s="20">
        <v>678</v>
      </c>
      <c r="G114" s="3">
        <v>0.47</v>
      </c>
      <c r="H114" t="e" vm="1">
        <v>#VALUE!</v>
      </c>
      <c r="I114" t="e" cm="1" vm="2">
        <f t="array" ref="I114">_FV(H114,"Country/region",TRUE)</f>
        <v>#VALUE!</v>
      </c>
      <c r="J114" t="s">
        <v>10</v>
      </c>
      <c r="K114" t="s">
        <v>22</v>
      </c>
      <c r="L114" t="s">
        <v>38</v>
      </c>
      <c r="M114">
        <f>Table1[[#This Row],[Price]]*Table1[[#This Row],[Quantity]]</f>
        <v>2000.1000000000001</v>
      </c>
    </row>
    <row r="115" spans="2:13" x14ac:dyDescent="0.3">
      <c r="B115" s="3">
        <v>10569</v>
      </c>
      <c r="C115" s="4">
        <v>44895</v>
      </c>
      <c r="D115" t="s">
        <v>17</v>
      </c>
      <c r="E115" s="3">
        <v>4.99</v>
      </c>
      <c r="F115" s="20">
        <v>201</v>
      </c>
      <c r="G115" s="3">
        <v>2.25</v>
      </c>
      <c r="H115" t="e" vm="1">
        <v>#VALUE!</v>
      </c>
      <c r="I115" t="e" cm="1" vm="2">
        <f t="array" ref="I115">_FV(H115,"Country/region",TRUE)</f>
        <v>#VALUE!</v>
      </c>
      <c r="J115" t="s">
        <v>10</v>
      </c>
      <c r="K115" t="s">
        <v>22</v>
      </c>
      <c r="L115" t="s">
        <v>38</v>
      </c>
      <c r="M115">
        <f>Table1[[#This Row],[Price]]*Table1[[#This Row],[Quantity]]</f>
        <v>1002.99</v>
      </c>
    </row>
    <row r="116" spans="2:13" x14ac:dyDescent="0.3">
      <c r="B116" s="3">
        <v>10570</v>
      </c>
      <c r="C116" s="4">
        <v>44896</v>
      </c>
      <c r="D116" t="s">
        <v>21</v>
      </c>
      <c r="E116" s="3">
        <v>12.99</v>
      </c>
      <c r="F116" s="20">
        <v>493</v>
      </c>
      <c r="G116" s="3">
        <v>4.32</v>
      </c>
      <c r="H116" t="e" vm="1">
        <v>#VALUE!</v>
      </c>
      <c r="I116" t="e" cm="1" vm="2">
        <f t="array" ref="I116">_FV(H116,"Country/region",TRUE)</f>
        <v>#VALUE!</v>
      </c>
      <c r="J116" t="s">
        <v>10</v>
      </c>
      <c r="K116" t="s">
        <v>22</v>
      </c>
      <c r="L116" t="s">
        <v>38</v>
      </c>
      <c r="M116">
        <f>Table1[[#This Row],[Price]]*Table1[[#This Row],[Quantity]]</f>
        <v>6404.07</v>
      </c>
    </row>
    <row r="117" spans="2:13" x14ac:dyDescent="0.3">
      <c r="B117" s="3">
        <v>10571</v>
      </c>
      <c r="C117" s="4">
        <v>44896</v>
      </c>
      <c r="D117" t="s">
        <v>25</v>
      </c>
      <c r="E117" s="3">
        <v>9.9499999999999993</v>
      </c>
      <c r="F117" s="20">
        <v>202</v>
      </c>
      <c r="G117" s="3">
        <v>2.85</v>
      </c>
      <c r="H117" t="e" vm="1">
        <v>#VALUE!</v>
      </c>
      <c r="I117" t="e" cm="1" vm="2">
        <f t="array" ref="I117">_FV(H117,"Country/region",TRUE)</f>
        <v>#VALUE!</v>
      </c>
      <c r="J117" t="s">
        <v>10</v>
      </c>
      <c r="K117" t="s">
        <v>22</v>
      </c>
      <c r="L117" t="s">
        <v>38</v>
      </c>
      <c r="M117">
        <f>Table1[[#This Row],[Price]]*Table1[[#This Row],[Quantity]]</f>
        <v>2009.8999999999999</v>
      </c>
    </row>
    <row r="118" spans="2:13" x14ac:dyDescent="0.3">
      <c r="B118" s="3">
        <v>10572</v>
      </c>
      <c r="C118" s="4">
        <v>44896</v>
      </c>
      <c r="D118" t="s">
        <v>9</v>
      </c>
      <c r="E118" s="3">
        <v>3.49</v>
      </c>
      <c r="F118" s="20">
        <v>574</v>
      </c>
      <c r="G118" s="3">
        <v>0.88</v>
      </c>
      <c r="H118" t="e" vm="9">
        <v>#VALUE!</v>
      </c>
      <c r="I118" t="e" cm="1" vm="10">
        <f t="array" ref="I118">_FV(H118,"Country/region",TRUE)</f>
        <v>#VALUE!</v>
      </c>
      <c r="J118" t="s">
        <v>10</v>
      </c>
      <c r="K118" t="s">
        <v>22</v>
      </c>
      <c r="L118" t="s">
        <v>28</v>
      </c>
      <c r="M118">
        <f>Table1[[#This Row],[Price]]*Table1[[#This Row],[Quantity]]</f>
        <v>2003.2600000000002</v>
      </c>
    </row>
    <row r="119" spans="2:13" x14ac:dyDescent="0.3">
      <c r="B119" s="3">
        <v>10573</v>
      </c>
      <c r="C119" s="4">
        <v>44896</v>
      </c>
      <c r="D119" t="s">
        <v>14</v>
      </c>
      <c r="E119" s="3">
        <v>2.95</v>
      </c>
      <c r="F119" s="20">
        <v>678</v>
      </c>
      <c r="G119" s="3">
        <v>0.47</v>
      </c>
      <c r="H119" t="e" vm="9">
        <v>#VALUE!</v>
      </c>
      <c r="I119" t="e" cm="1" vm="10">
        <f t="array" ref="I119">_FV(H119,"Country/region",TRUE)</f>
        <v>#VALUE!</v>
      </c>
      <c r="J119" t="s">
        <v>10</v>
      </c>
      <c r="K119" t="s">
        <v>22</v>
      </c>
      <c r="L119" t="s">
        <v>28</v>
      </c>
      <c r="M119">
        <f>Table1[[#This Row],[Price]]*Table1[[#This Row],[Quantity]]</f>
        <v>2000.1000000000001</v>
      </c>
    </row>
    <row r="120" spans="2:13" x14ac:dyDescent="0.3">
      <c r="B120" s="3">
        <v>10574</v>
      </c>
      <c r="C120" s="4">
        <v>44896</v>
      </c>
      <c r="D120" t="s">
        <v>17</v>
      </c>
      <c r="E120" s="3">
        <v>4.99</v>
      </c>
      <c r="F120" s="20">
        <v>201</v>
      </c>
      <c r="G120" s="3">
        <v>2.25</v>
      </c>
      <c r="H120" t="e" vm="9">
        <v>#VALUE!</v>
      </c>
      <c r="I120" t="e" cm="1" vm="10">
        <f t="array" ref="I120">_FV(H120,"Country/region",TRUE)</f>
        <v>#VALUE!</v>
      </c>
      <c r="J120" t="s">
        <v>10</v>
      </c>
      <c r="K120" t="s">
        <v>22</v>
      </c>
      <c r="L120" t="s">
        <v>28</v>
      </c>
      <c r="M120">
        <f>Table1[[#This Row],[Price]]*Table1[[#This Row],[Quantity]]</f>
        <v>1002.99</v>
      </c>
    </row>
    <row r="121" spans="2:13" x14ac:dyDescent="0.3">
      <c r="B121" s="3">
        <v>10575</v>
      </c>
      <c r="C121" s="4">
        <v>44897</v>
      </c>
      <c r="D121" t="s">
        <v>21</v>
      </c>
      <c r="E121" s="3">
        <v>12.99</v>
      </c>
      <c r="F121" s="20">
        <v>524</v>
      </c>
      <c r="G121" s="3">
        <v>4.32</v>
      </c>
      <c r="H121" t="e" vm="9">
        <v>#VALUE!</v>
      </c>
      <c r="I121" t="e" cm="1" vm="10">
        <f t="array" ref="I121">_FV(H121,"Country/region",TRUE)</f>
        <v>#VALUE!</v>
      </c>
      <c r="J121" t="s">
        <v>10</v>
      </c>
      <c r="K121" t="s">
        <v>22</v>
      </c>
      <c r="L121" t="s">
        <v>28</v>
      </c>
      <c r="M121">
        <f>Table1[[#This Row],[Price]]*Table1[[#This Row],[Quantity]]</f>
        <v>6806.76</v>
      </c>
    </row>
    <row r="122" spans="2:13" x14ac:dyDescent="0.3">
      <c r="B122" s="3">
        <v>10576</v>
      </c>
      <c r="C122" s="4">
        <v>44897</v>
      </c>
      <c r="D122" t="s">
        <v>25</v>
      </c>
      <c r="E122" s="3">
        <v>9.9499999999999993</v>
      </c>
      <c r="F122" s="20">
        <v>202</v>
      </c>
      <c r="G122" s="3">
        <v>2.85</v>
      </c>
      <c r="H122" t="e" vm="9">
        <v>#VALUE!</v>
      </c>
      <c r="I122" t="e" cm="1" vm="10">
        <f t="array" ref="I122">_FV(H122,"Country/region",TRUE)</f>
        <v>#VALUE!</v>
      </c>
      <c r="J122" t="s">
        <v>10</v>
      </c>
      <c r="K122" t="s">
        <v>22</v>
      </c>
      <c r="L122" t="s">
        <v>28</v>
      </c>
      <c r="M122">
        <f>Table1[[#This Row],[Price]]*Table1[[#This Row],[Quantity]]</f>
        <v>2009.8999999999999</v>
      </c>
    </row>
    <row r="123" spans="2:13" x14ac:dyDescent="0.3">
      <c r="B123" s="3">
        <v>10577</v>
      </c>
      <c r="C123" s="4">
        <v>44897</v>
      </c>
      <c r="D123" t="s">
        <v>9</v>
      </c>
      <c r="E123" s="3">
        <v>3.49</v>
      </c>
      <c r="F123" s="20">
        <v>631</v>
      </c>
      <c r="G123" s="3">
        <v>0.88</v>
      </c>
      <c r="H123" t="e" vm="9">
        <v>#VALUE!</v>
      </c>
      <c r="I123" t="e" cm="1" vm="10">
        <f t="array" ref="I123">_FV(H123,"Country/region",TRUE)</f>
        <v>#VALUE!</v>
      </c>
      <c r="J123" t="s">
        <v>10</v>
      </c>
      <c r="K123" t="s">
        <v>22</v>
      </c>
      <c r="L123" t="s">
        <v>28</v>
      </c>
      <c r="M123">
        <f>Table1[[#This Row],[Price]]*Table1[[#This Row],[Quantity]]</f>
        <v>2202.19</v>
      </c>
    </row>
    <row r="124" spans="2:13" x14ac:dyDescent="0.3">
      <c r="B124" s="3">
        <v>10578</v>
      </c>
      <c r="C124" s="4">
        <v>44897</v>
      </c>
      <c r="D124" t="s">
        <v>14</v>
      </c>
      <c r="E124" s="3">
        <v>2.95</v>
      </c>
      <c r="F124" s="20">
        <v>678</v>
      </c>
      <c r="G124" s="3">
        <v>0.47</v>
      </c>
      <c r="H124" t="e" vm="9">
        <v>#VALUE!</v>
      </c>
      <c r="I124" t="e" cm="1" vm="10">
        <f t="array" ref="I124">_FV(H124,"Country/region",TRUE)</f>
        <v>#VALUE!</v>
      </c>
      <c r="J124" t="s">
        <v>10</v>
      </c>
      <c r="K124" t="s">
        <v>22</v>
      </c>
      <c r="L124" t="s">
        <v>28</v>
      </c>
      <c r="M124">
        <f>Table1[[#This Row],[Price]]*Table1[[#This Row],[Quantity]]</f>
        <v>2000.1000000000001</v>
      </c>
    </row>
    <row r="125" spans="2:13" x14ac:dyDescent="0.3">
      <c r="B125" s="3">
        <v>10579</v>
      </c>
      <c r="C125" s="4">
        <v>44897</v>
      </c>
      <c r="D125" t="s">
        <v>17</v>
      </c>
      <c r="E125" s="3">
        <v>4.99</v>
      </c>
      <c r="F125" s="20">
        <v>201</v>
      </c>
      <c r="G125" s="3">
        <v>2.25</v>
      </c>
      <c r="H125" t="e" vm="9">
        <v>#VALUE!</v>
      </c>
      <c r="I125" t="e" cm="1" vm="10">
        <f t="array" ref="I125">_FV(H125,"Country/region",TRUE)</f>
        <v>#VALUE!</v>
      </c>
      <c r="J125" t="s">
        <v>10</v>
      </c>
      <c r="K125" t="s">
        <v>22</v>
      </c>
      <c r="L125" t="s">
        <v>28</v>
      </c>
      <c r="M125">
        <f>Table1[[#This Row],[Price]]*Table1[[#This Row],[Quantity]]</f>
        <v>1002.99</v>
      </c>
    </row>
    <row r="126" spans="2:13" x14ac:dyDescent="0.3">
      <c r="B126" s="3">
        <v>10580</v>
      </c>
      <c r="C126" s="4">
        <v>44898</v>
      </c>
      <c r="D126" t="s">
        <v>21</v>
      </c>
      <c r="E126" s="3">
        <v>12.99</v>
      </c>
      <c r="F126" s="20">
        <v>524</v>
      </c>
      <c r="G126" s="3">
        <v>4.32</v>
      </c>
      <c r="H126" t="e" vm="9">
        <v>#VALUE!</v>
      </c>
      <c r="I126" t="e" cm="1" vm="10">
        <f t="array" ref="I126">_FV(H126,"Country/region",TRUE)</f>
        <v>#VALUE!</v>
      </c>
      <c r="J126" t="s">
        <v>10</v>
      </c>
      <c r="K126" t="s">
        <v>22</v>
      </c>
      <c r="L126" t="s">
        <v>28</v>
      </c>
      <c r="M126">
        <f>Table1[[#This Row],[Price]]*Table1[[#This Row],[Quantity]]</f>
        <v>6806.76</v>
      </c>
    </row>
    <row r="127" spans="2:13" x14ac:dyDescent="0.3">
      <c r="B127" s="3">
        <v>10581</v>
      </c>
      <c r="C127" s="4">
        <v>44898</v>
      </c>
      <c r="D127" t="s">
        <v>25</v>
      </c>
      <c r="E127" s="3">
        <v>9.9499999999999993</v>
      </c>
      <c r="F127" s="20">
        <v>202</v>
      </c>
      <c r="G127" s="3">
        <v>2.85</v>
      </c>
      <c r="H127" t="e" vm="9">
        <v>#VALUE!</v>
      </c>
      <c r="I127" t="e" cm="1" vm="10">
        <f t="array" ref="I127">_FV(H127,"Country/region",TRUE)</f>
        <v>#VALUE!</v>
      </c>
      <c r="J127" t="s">
        <v>10</v>
      </c>
      <c r="K127" t="s">
        <v>22</v>
      </c>
      <c r="L127" t="s">
        <v>28</v>
      </c>
      <c r="M127">
        <f>Table1[[#This Row],[Price]]*Table1[[#This Row],[Quantity]]</f>
        <v>2009.8999999999999</v>
      </c>
    </row>
    <row r="128" spans="2:13" x14ac:dyDescent="0.3">
      <c r="B128" s="3">
        <v>10582</v>
      </c>
      <c r="C128" s="4">
        <v>44898</v>
      </c>
      <c r="D128" t="s">
        <v>9</v>
      </c>
      <c r="E128" s="3">
        <v>3.49</v>
      </c>
      <c r="F128" s="20">
        <v>631</v>
      </c>
      <c r="G128" s="3">
        <v>0.88</v>
      </c>
      <c r="H128" t="e" vm="1">
        <v>#VALUE!</v>
      </c>
      <c r="I128" t="e" cm="1" vm="2">
        <f t="array" ref="I128">_FV(H128,"Country/region",TRUE)</f>
        <v>#VALUE!</v>
      </c>
      <c r="J128" t="s">
        <v>10</v>
      </c>
      <c r="K128" t="s">
        <v>22</v>
      </c>
      <c r="L128" t="s">
        <v>38</v>
      </c>
      <c r="M128">
        <f>Table1[[#This Row],[Price]]*Table1[[#This Row],[Quantity]]</f>
        <v>2202.19</v>
      </c>
    </row>
    <row r="129" spans="2:13" x14ac:dyDescent="0.3">
      <c r="B129" s="3">
        <v>10583</v>
      </c>
      <c r="C129" s="4">
        <v>44898</v>
      </c>
      <c r="D129" t="s">
        <v>14</v>
      </c>
      <c r="E129" s="3">
        <v>2.95</v>
      </c>
      <c r="F129" s="20">
        <v>678</v>
      </c>
      <c r="G129" s="3">
        <v>0.47</v>
      </c>
      <c r="H129" t="e" vm="1">
        <v>#VALUE!</v>
      </c>
      <c r="I129" t="e" cm="1" vm="2">
        <f t="array" ref="I129">_FV(H129,"Country/region",TRUE)</f>
        <v>#VALUE!</v>
      </c>
      <c r="J129" t="s">
        <v>10</v>
      </c>
      <c r="K129" t="s">
        <v>22</v>
      </c>
      <c r="L129" t="s">
        <v>38</v>
      </c>
      <c r="M129">
        <f>Table1[[#This Row],[Price]]*Table1[[#This Row],[Quantity]]</f>
        <v>2000.1000000000001</v>
      </c>
    </row>
    <row r="130" spans="2:13" x14ac:dyDescent="0.3">
      <c r="B130" s="3">
        <v>10584</v>
      </c>
      <c r="C130" s="4">
        <v>44898</v>
      </c>
      <c r="D130" t="s">
        <v>17</v>
      </c>
      <c r="E130" s="3">
        <v>4.99</v>
      </c>
      <c r="F130" s="20">
        <v>201</v>
      </c>
      <c r="G130" s="3">
        <v>2.25</v>
      </c>
      <c r="H130" t="e" vm="1">
        <v>#VALUE!</v>
      </c>
      <c r="I130" t="e" cm="1" vm="2">
        <f t="array" ref="I130">_FV(H130,"Country/region",TRUE)</f>
        <v>#VALUE!</v>
      </c>
      <c r="J130" t="s">
        <v>10</v>
      </c>
      <c r="K130" t="s">
        <v>22</v>
      </c>
      <c r="L130" t="s">
        <v>38</v>
      </c>
      <c r="M130">
        <f>Table1[[#This Row],[Price]]*Table1[[#This Row],[Quantity]]</f>
        <v>1002.99</v>
      </c>
    </row>
    <row r="131" spans="2:13" x14ac:dyDescent="0.3">
      <c r="B131" s="3">
        <v>10585</v>
      </c>
      <c r="C131" s="4">
        <v>44899</v>
      </c>
      <c r="D131" t="s">
        <v>21</v>
      </c>
      <c r="E131" s="3">
        <v>12.99</v>
      </c>
      <c r="F131" s="20">
        <v>539</v>
      </c>
      <c r="G131" s="3">
        <v>4.32</v>
      </c>
      <c r="H131" t="e" vm="1">
        <v>#VALUE!</v>
      </c>
      <c r="I131" t="e" cm="1" vm="2">
        <f t="array" ref="I131">_FV(H131,"Country/region",TRUE)</f>
        <v>#VALUE!</v>
      </c>
      <c r="J131" t="s">
        <v>10</v>
      </c>
      <c r="K131" t="s">
        <v>22</v>
      </c>
      <c r="L131" t="s">
        <v>38</v>
      </c>
      <c r="M131">
        <f>Table1[[#This Row],[Price]]*Table1[[#This Row],[Quantity]]</f>
        <v>7001.61</v>
      </c>
    </row>
    <row r="132" spans="2:13" x14ac:dyDescent="0.3">
      <c r="B132" s="3">
        <v>10586</v>
      </c>
      <c r="C132" s="4">
        <v>44899</v>
      </c>
      <c r="D132" t="s">
        <v>25</v>
      </c>
      <c r="E132" s="3">
        <v>9.9499999999999993</v>
      </c>
      <c r="F132" s="20">
        <v>202</v>
      </c>
      <c r="G132" s="3">
        <v>2.85</v>
      </c>
      <c r="H132" t="e" vm="1">
        <v>#VALUE!</v>
      </c>
      <c r="I132" t="e" cm="1" vm="2">
        <f t="array" ref="I132">_FV(H132,"Country/region",TRUE)</f>
        <v>#VALUE!</v>
      </c>
      <c r="J132" t="s">
        <v>10</v>
      </c>
      <c r="K132" t="s">
        <v>22</v>
      </c>
      <c r="L132" t="s">
        <v>38</v>
      </c>
      <c r="M132">
        <f>Table1[[#This Row],[Price]]*Table1[[#This Row],[Quantity]]</f>
        <v>2009.8999999999999</v>
      </c>
    </row>
    <row r="133" spans="2:13" x14ac:dyDescent="0.3">
      <c r="B133" s="3">
        <v>10590</v>
      </c>
      <c r="C133" s="4">
        <v>44900</v>
      </c>
      <c r="D133" t="s">
        <v>21</v>
      </c>
      <c r="E133" s="3">
        <v>12.99</v>
      </c>
      <c r="F133" s="20">
        <v>555</v>
      </c>
      <c r="G133" s="3">
        <v>4.32</v>
      </c>
      <c r="H133" t="e" vm="1">
        <v>#VALUE!</v>
      </c>
      <c r="I133" t="e" cm="1" vm="2">
        <f t="array" ref="I133">_FV(H133,"Country/region",TRUE)</f>
        <v>#VALUE!</v>
      </c>
      <c r="J133" t="s">
        <v>10</v>
      </c>
      <c r="K133" t="s">
        <v>22</v>
      </c>
      <c r="L133" t="s">
        <v>38</v>
      </c>
      <c r="M133">
        <f>Table1[[#This Row],[Price]]*Table1[[#This Row],[Quantity]]</f>
        <v>7209.45</v>
      </c>
    </row>
    <row r="134" spans="2:13" x14ac:dyDescent="0.3">
      <c r="B134" s="3">
        <v>10591</v>
      </c>
      <c r="C134" s="4">
        <v>44900</v>
      </c>
      <c r="D134" t="s">
        <v>25</v>
      </c>
      <c r="E134" s="3">
        <v>9.9499999999999993</v>
      </c>
      <c r="F134" s="20">
        <v>202</v>
      </c>
      <c r="G134" s="3">
        <v>2.85</v>
      </c>
      <c r="H134" t="e" vm="1">
        <v>#VALUE!</v>
      </c>
      <c r="I134" t="e" cm="1" vm="2">
        <f t="array" ref="I134">_FV(H134,"Country/region",TRUE)</f>
        <v>#VALUE!</v>
      </c>
      <c r="J134" t="s">
        <v>10</v>
      </c>
      <c r="K134" t="s">
        <v>22</v>
      </c>
      <c r="L134" t="s">
        <v>38</v>
      </c>
      <c r="M134">
        <f>Table1[[#This Row],[Price]]*Table1[[#This Row],[Quantity]]</f>
        <v>2009.8999999999999</v>
      </c>
    </row>
    <row r="135" spans="2:13" x14ac:dyDescent="0.3">
      <c r="B135" s="3">
        <v>10592</v>
      </c>
      <c r="C135" s="4">
        <v>44900</v>
      </c>
      <c r="D135" t="s">
        <v>9</v>
      </c>
      <c r="E135" s="3">
        <v>3.49</v>
      </c>
      <c r="F135" s="20">
        <v>574</v>
      </c>
      <c r="G135" s="3">
        <v>0.88</v>
      </c>
      <c r="H135" t="e" vm="1">
        <v>#VALUE!</v>
      </c>
      <c r="I135" t="e" cm="1" vm="2">
        <f t="array" ref="I135">_FV(H135,"Country/region",TRUE)</f>
        <v>#VALUE!</v>
      </c>
      <c r="J135" t="s">
        <v>10</v>
      </c>
      <c r="K135" t="s">
        <v>22</v>
      </c>
      <c r="L135" t="s">
        <v>38</v>
      </c>
      <c r="M135">
        <f>Table1[[#This Row],[Price]]*Table1[[#This Row],[Quantity]]</f>
        <v>2003.2600000000002</v>
      </c>
    </row>
    <row r="136" spans="2:13" x14ac:dyDescent="0.3">
      <c r="B136" s="3">
        <v>10593</v>
      </c>
      <c r="C136" s="4">
        <v>44900</v>
      </c>
      <c r="D136" t="s">
        <v>14</v>
      </c>
      <c r="E136" s="3">
        <v>2.95</v>
      </c>
      <c r="F136" s="20">
        <v>678</v>
      </c>
      <c r="G136" s="3">
        <v>0.47</v>
      </c>
      <c r="H136" t="e" vm="1">
        <v>#VALUE!</v>
      </c>
      <c r="I136" t="e" cm="1" vm="2">
        <f t="array" ref="I136">_FV(H136,"Country/region",TRUE)</f>
        <v>#VALUE!</v>
      </c>
      <c r="J136" t="s">
        <v>10</v>
      </c>
      <c r="K136" t="s">
        <v>22</v>
      </c>
      <c r="L136" t="s">
        <v>38</v>
      </c>
      <c r="M136">
        <f>Table1[[#This Row],[Price]]*Table1[[#This Row],[Quantity]]</f>
        <v>2000.1000000000001</v>
      </c>
    </row>
    <row r="137" spans="2:13" x14ac:dyDescent="0.3">
      <c r="B137" s="3">
        <v>10594</v>
      </c>
      <c r="C137" s="4">
        <v>44900</v>
      </c>
      <c r="D137" t="s">
        <v>17</v>
      </c>
      <c r="E137" s="3">
        <v>4.99</v>
      </c>
      <c r="F137" s="20">
        <v>201</v>
      </c>
      <c r="G137" s="3">
        <v>2.25</v>
      </c>
      <c r="H137" t="e" vm="1">
        <v>#VALUE!</v>
      </c>
      <c r="I137" t="e" cm="1" vm="2">
        <f t="array" ref="I137">_FV(H137,"Country/region",TRUE)</f>
        <v>#VALUE!</v>
      </c>
      <c r="J137" t="s">
        <v>10</v>
      </c>
      <c r="K137" t="s">
        <v>22</v>
      </c>
      <c r="L137" t="s">
        <v>38</v>
      </c>
      <c r="M137">
        <f>Table1[[#This Row],[Price]]*Table1[[#This Row],[Quantity]]</f>
        <v>1002.99</v>
      </c>
    </row>
    <row r="138" spans="2:13" x14ac:dyDescent="0.3">
      <c r="B138" s="3">
        <v>10595</v>
      </c>
      <c r="C138" s="4">
        <v>44901</v>
      </c>
      <c r="D138" t="s">
        <v>21</v>
      </c>
      <c r="E138" s="3">
        <v>12.99</v>
      </c>
      <c r="F138" s="20">
        <v>539</v>
      </c>
      <c r="G138" s="3">
        <v>4.32</v>
      </c>
      <c r="H138" t="e" vm="1">
        <v>#VALUE!</v>
      </c>
      <c r="I138" t="e" cm="1" vm="2">
        <f t="array" ref="I138">_FV(H138,"Country/region",TRUE)</f>
        <v>#VALUE!</v>
      </c>
      <c r="J138" t="s">
        <v>10</v>
      </c>
      <c r="K138" t="s">
        <v>22</v>
      </c>
      <c r="L138" t="s">
        <v>38</v>
      </c>
      <c r="M138">
        <f>Table1[[#This Row],[Price]]*Table1[[#This Row],[Quantity]]</f>
        <v>7001.61</v>
      </c>
    </row>
    <row r="139" spans="2:13" x14ac:dyDescent="0.3">
      <c r="B139" s="3">
        <v>10596</v>
      </c>
      <c r="C139" s="4">
        <v>44901</v>
      </c>
      <c r="D139" t="s">
        <v>25</v>
      </c>
      <c r="E139" s="3">
        <v>9.9499999999999993</v>
      </c>
      <c r="F139" s="20">
        <v>202</v>
      </c>
      <c r="G139" s="3">
        <v>2.85</v>
      </c>
      <c r="H139" t="e" vm="1">
        <v>#VALUE!</v>
      </c>
      <c r="I139" t="e" cm="1" vm="2">
        <f t="array" ref="I139">_FV(H139,"Country/region",TRUE)</f>
        <v>#VALUE!</v>
      </c>
      <c r="J139" t="s">
        <v>10</v>
      </c>
      <c r="K139" t="s">
        <v>22</v>
      </c>
      <c r="L139" t="s">
        <v>38</v>
      </c>
      <c r="M139">
        <f>Table1[[#This Row],[Price]]*Table1[[#This Row],[Quantity]]</f>
        <v>2009.8999999999999</v>
      </c>
    </row>
    <row r="140" spans="2:13" x14ac:dyDescent="0.3">
      <c r="B140" s="3">
        <v>10597</v>
      </c>
      <c r="C140" s="4">
        <v>44901</v>
      </c>
      <c r="D140" t="s">
        <v>9</v>
      </c>
      <c r="E140" s="3">
        <v>3.49</v>
      </c>
      <c r="F140" s="20">
        <v>574</v>
      </c>
      <c r="G140" s="3">
        <v>0.88</v>
      </c>
      <c r="H140" t="e" vm="1">
        <v>#VALUE!</v>
      </c>
      <c r="I140" t="e" cm="1" vm="2">
        <f t="array" ref="I140">_FV(H140,"Country/region",TRUE)</f>
        <v>#VALUE!</v>
      </c>
      <c r="J140" t="s">
        <v>10</v>
      </c>
      <c r="K140" t="s">
        <v>22</v>
      </c>
      <c r="L140" t="s">
        <v>38</v>
      </c>
      <c r="M140">
        <f>Table1[[#This Row],[Price]]*Table1[[#This Row],[Quantity]]</f>
        <v>2003.2600000000002</v>
      </c>
    </row>
    <row r="141" spans="2:13" x14ac:dyDescent="0.3">
      <c r="B141" s="3">
        <v>10598</v>
      </c>
      <c r="C141" s="4">
        <v>44901</v>
      </c>
      <c r="D141" t="s">
        <v>14</v>
      </c>
      <c r="E141" s="3">
        <v>2.95</v>
      </c>
      <c r="F141" s="20">
        <v>678</v>
      </c>
      <c r="G141" s="3">
        <v>0.47</v>
      </c>
      <c r="H141" t="e" vm="1">
        <v>#VALUE!</v>
      </c>
      <c r="I141" t="e" cm="1" vm="2">
        <f t="array" ref="I141">_FV(H141,"Country/region",TRUE)</f>
        <v>#VALUE!</v>
      </c>
      <c r="J141" t="s">
        <v>10</v>
      </c>
      <c r="K141" t="s">
        <v>22</v>
      </c>
      <c r="L141" t="s">
        <v>38</v>
      </c>
      <c r="M141">
        <f>Table1[[#This Row],[Price]]*Table1[[#This Row],[Quantity]]</f>
        <v>2000.1000000000001</v>
      </c>
    </row>
    <row r="142" spans="2:13" x14ac:dyDescent="0.3">
      <c r="B142" s="3">
        <v>10599</v>
      </c>
      <c r="C142" s="4">
        <v>44901</v>
      </c>
      <c r="D142" t="s">
        <v>17</v>
      </c>
      <c r="E142" s="3">
        <v>4.99</v>
      </c>
      <c r="F142" s="20">
        <v>201</v>
      </c>
      <c r="G142" s="3">
        <v>2.25</v>
      </c>
      <c r="H142" t="e" vm="1">
        <v>#VALUE!</v>
      </c>
      <c r="I142" t="e" cm="1" vm="2">
        <f t="array" ref="I142">_FV(H142,"Country/region",TRUE)</f>
        <v>#VALUE!</v>
      </c>
      <c r="J142" t="s">
        <v>10</v>
      </c>
      <c r="K142" t="s">
        <v>22</v>
      </c>
      <c r="L142" t="s">
        <v>38</v>
      </c>
      <c r="M142">
        <f>Table1[[#This Row],[Price]]*Table1[[#This Row],[Quantity]]</f>
        <v>1002.99</v>
      </c>
    </row>
    <row r="143" spans="2:13" x14ac:dyDescent="0.3">
      <c r="B143" s="3">
        <v>10600</v>
      </c>
      <c r="C143" s="4">
        <v>44902</v>
      </c>
      <c r="D143" t="s">
        <v>21</v>
      </c>
      <c r="E143" s="3">
        <v>12.99</v>
      </c>
      <c r="F143" s="20">
        <v>524</v>
      </c>
      <c r="G143" s="3">
        <v>4.32</v>
      </c>
      <c r="H143" t="e" vm="1">
        <v>#VALUE!</v>
      </c>
      <c r="I143" t="e" cm="1" vm="2">
        <f t="array" ref="I143">_FV(H143,"Country/region",TRUE)</f>
        <v>#VALUE!</v>
      </c>
      <c r="J143" t="s">
        <v>10</v>
      </c>
      <c r="K143" t="s">
        <v>22</v>
      </c>
      <c r="L143" t="s">
        <v>38</v>
      </c>
      <c r="M143">
        <f>Table1[[#This Row],[Price]]*Table1[[#This Row],[Quantity]]</f>
        <v>6806.76</v>
      </c>
    </row>
    <row r="144" spans="2:13" x14ac:dyDescent="0.3">
      <c r="B144" s="3">
        <v>10601</v>
      </c>
      <c r="C144" s="4">
        <v>44902</v>
      </c>
      <c r="D144" t="s">
        <v>25</v>
      </c>
      <c r="E144" s="3">
        <v>9.9499999999999993</v>
      </c>
      <c r="F144" s="20">
        <v>202</v>
      </c>
      <c r="G144" s="3">
        <v>2.85</v>
      </c>
      <c r="H144" t="e" vm="1">
        <v>#VALUE!</v>
      </c>
      <c r="I144" t="e" cm="1" vm="2">
        <f t="array" ref="I144">_FV(H144,"Country/region",TRUE)</f>
        <v>#VALUE!</v>
      </c>
      <c r="J144" t="s">
        <v>10</v>
      </c>
      <c r="K144" t="s">
        <v>22</v>
      </c>
      <c r="L144" t="s">
        <v>38</v>
      </c>
      <c r="M144">
        <f>Table1[[#This Row],[Price]]*Table1[[#This Row],[Quantity]]</f>
        <v>2009.8999999999999</v>
      </c>
    </row>
    <row r="145" spans="2:13" x14ac:dyDescent="0.3">
      <c r="B145" s="3">
        <v>10602</v>
      </c>
      <c r="C145" s="4">
        <v>44902</v>
      </c>
      <c r="D145" t="s">
        <v>9</v>
      </c>
      <c r="E145" s="3">
        <v>3.49</v>
      </c>
      <c r="F145" s="20">
        <v>631</v>
      </c>
      <c r="G145" s="3">
        <v>0.88</v>
      </c>
      <c r="H145" t="e" vm="1">
        <v>#VALUE!</v>
      </c>
      <c r="I145" t="e" cm="1" vm="2">
        <f t="array" ref="I145">_FV(H145,"Country/region",TRUE)</f>
        <v>#VALUE!</v>
      </c>
      <c r="J145" t="s">
        <v>10</v>
      </c>
      <c r="K145" t="s">
        <v>37</v>
      </c>
      <c r="L145" t="s">
        <v>38</v>
      </c>
      <c r="M145">
        <f>Table1[[#This Row],[Price]]*Table1[[#This Row],[Quantity]]</f>
        <v>2202.19</v>
      </c>
    </row>
    <row r="146" spans="2:13" x14ac:dyDescent="0.3">
      <c r="B146" s="3">
        <v>10603</v>
      </c>
      <c r="C146" s="4">
        <v>44902</v>
      </c>
      <c r="D146" t="s">
        <v>14</v>
      </c>
      <c r="E146" s="3">
        <v>2.95</v>
      </c>
      <c r="F146" s="20">
        <v>678</v>
      </c>
      <c r="G146" s="3">
        <v>0.47</v>
      </c>
      <c r="H146" t="e" vm="1">
        <v>#VALUE!</v>
      </c>
      <c r="I146" t="e" cm="1" vm="2">
        <f t="array" ref="I146">_FV(H146,"Country/region",TRUE)</f>
        <v>#VALUE!</v>
      </c>
      <c r="J146" t="s">
        <v>10</v>
      </c>
      <c r="K146" t="s">
        <v>37</v>
      </c>
      <c r="L146" t="s">
        <v>38</v>
      </c>
      <c r="M146">
        <f>Table1[[#This Row],[Price]]*Table1[[#This Row],[Quantity]]</f>
        <v>2000.1000000000001</v>
      </c>
    </row>
    <row r="147" spans="2:13" x14ac:dyDescent="0.3">
      <c r="B147" s="3">
        <v>10604</v>
      </c>
      <c r="C147" s="4">
        <v>44902</v>
      </c>
      <c r="D147" t="s">
        <v>17</v>
      </c>
      <c r="E147" s="3">
        <v>4.99</v>
      </c>
      <c r="F147" s="20">
        <v>201</v>
      </c>
      <c r="G147" s="3">
        <v>2.25</v>
      </c>
      <c r="H147" t="e" vm="1">
        <v>#VALUE!</v>
      </c>
      <c r="I147" t="e" cm="1" vm="2">
        <f t="array" ref="I147">_FV(H147,"Country/region",TRUE)</f>
        <v>#VALUE!</v>
      </c>
      <c r="J147" t="s">
        <v>10</v>
      </c>
      <c r="K147" t="s">
        <v>37</v>
      </c>
      <c r="L147" t="s">
        <v>38</v>
      </c>
      <c r="M147">
        <f>Table1[[#This Row],[Price]]*Table1[[#This Row],[Quantity]]</f>
        <v>1002.99</v>
      </c>
    </row>
    <row r="148" spans="2:13" x14ac:dyDescent="0.3">
      <c r="B148" s="3">
        <v>10605</v>
      </c>
      <c r="C148" s="4">
        <v>44903</v>
      </c>
      <c r="D148" t="s">
        <v>21</v>
      </c>
      <c r="E148" s="3">
        <v>12.99</v>
      </c>
      <c r="F148" s="20">
        <v>539</v>
      </c>
      <c r="G148" s="3">
        <v>4.32</v>
      </c>
      <c r="H148" t="e" vm="1">
        <v>#VALUE!</v>
      </c>
      <c r="I148" t="e" cm="1" vm="2">
        <f t="array" ref="I148">_FV(H148,"Country/region",TRUE)</f>
        <v>#VALUE!</v>
      </c>
      <c r="J148" t="s">
        <v>10</v>
      </c>
      <c r="K148" t="s">
        <v>37</v>
      </c>
      <c r="L148" t="s">
        <v>38</v>
      </c>
      <c r="M148">
        <f>Table1[[#This Row],[Price]]*Table1[[#This Row],[Quantity]]</f>
        <v>7001.61</v>
      </c>
    </row>
    <row r="149" spans="2:13" x14ac:dyDescent="0.3">
      <c r="B149" s="3">
        <v>10606</v>
      </c>
      <c r="C149" s="4">
        <v>44903</v>
      </c>
      <c r="D149" t="s">
        <v>25</v>
      </c>
      <c r="E149" s="3">
        <v>9.9499999999999993</v>
      </c>
      <c r="F149" s="20">
        <v>202</v>
      </c>
      <c r="G149" s="3">
        <v>2.85</v>
      </c>
      <c r="H149" t="e" vm="1">
        <v>#VALUE!</v>
      </c>
      <c r="I149" t="e" cm="1" vm="2">
        <f t="array" ref="I149">_FV(H149,"Country/region",TRUE)</f>
        <v>#VALUE!</v>
      </c>
      <c r="J149" t="s">
        <v>10</v>
      </c>
      <c r="K149" t="s">
        <v>37</v>
      </c>
      <c r="L149" t="s">
        <v>38</v>
      </c>
      <c r="M149">
        <f>Table1[[#This Row],[Price]]*Table1[[#This Row],[Quantity]]</f>
        <v>2009.8999999999999</v>
      </c>
    </row>
    <row r="150" spans="2:13" x14ac:dyDescent="0.3">
      <c r="B150" s="3">
        <v>10607</v>
      </c>
      <c r="C150" s="4">
        <v>44903</v>
      </c>
      <c r="D150" t="s">
        <v>9</v>
      </c>
      <c r="E150" s="3">
        <v>3.49</v>
      </c>
      <c r="F150" s="20">
        <v>631</v>
      </c>
      <c r="G150" s="3">
        <v>0.88</v>
      </c>
      <c r="H150" t="e" vm="1">
        <v>#VALUE!</v>
      </c>
      <c r="I150" t="e" cm="1" vm="2">
        <f t="array" ref="I150">_FV(H150,"Country/region",TRUE)</f>
        <v>#VALUE!</v>
      </c>
      <c r="J150" t="s">
        <v>10</v>
      </c>
      <c r="K150" t="s">
        <v>37</v>
      </c>
      <c r="L150" t="s">
        <v>38</v>
      </c>
      <c r="M150">
        <f>Table1[[#This Row],[Price]]*Table1[[#This Row],[Quantity]]</f>
        <v>2202.19</v>
      </c>
    </row>
    <row r="151" spans="2:13" x14ac:dyDescent="0.3">
      <c r="B151" s="3">
        <v>10608</v>
      </c>
      <c r="C151" s="4">
        <v>44903</v>
      </c>
      <c r="D151" t="s">
        <v>14</v>
      </c>
      <c r="E151" s="3">
        <v>2.95</v>
      </c>
      <c r="F151" s="20">
        <v>678</v>
      </c>
      <c r="G151" s="3">
        <v>0.47</v>
      </c>
      <c r="H151" t="e" vm="1">
        <v>#VALUE!</v>
      </c>
      <c r="I151" t="e" cm="1" vm="2">
        <f t="array" ref="I151">_FV(H151,"Country/region",TRUE)</f>
        <v>#VALUE!</v>
      </c>
      <c r="J151" t="s">
        <v>10</v>
      </c>
      <c r="K151" t="s">
        <v>11</v>
      </c>
      <c r="L151" t="s">
        <v>38</v>
      </c>
      <c r="M151">
        <f>Table1[[#This Row],[Price]]*Table1[[#This Row],[Quantity]]</f>
        <v>2000.1000000000001</v>
      </c>
    </row>
    <row r="152" spans="2:13" x14ac:dyDescent="0.3">
      <c r="B152" s="3">
        <v>10609</v>
      </c>
      <c r="C152" s="4">
        <v>44903</v>
      </c>
      <c r="D152" t="s">
        <v>17</v>
      </c>
      <c r="E152" s="3">
        <v>4.99</v>
      </c>
      <c r="F152" s="20">
        <v>201</v>
      </c>
      <c r="G152" s="3">
        <v>2.25</v>
      </c>
      <c r="H152" t="e" vm="1">
        <v>#VALUE!</v>
      </c>
      <c r="I152" t="e" cm="1" vm="2">
        <f t="array" ref="I152">_FV(H152,"Country/region",TRUE)</f>
        <v>#VALUE!</v>
      </c>
      <c r="J152" t="s">
        <v>10</v>
      </c>
      <c r="K152" t="s">
        <v>11</v>
      </c>
      <c r="L152" t="s">
        <v>38</v>
      </c>
      <c r="M152">
        <f>Table1[[#This Row],[Price]]*Table1[[#This Row],[Quantity]]</f>
        <v>1002.99</v>
      </c>
    </row>
    <row r="153" spans="2:13" x14ac:dyDescent="0.3">
      <c r="B153" s="3">
        <v>10610</v>
      </c>
      <c r="C153" s="4">
        <v>44904</v>
      </c>
      <c r="D153" t="s">
        <v>21</v>
      </c>
      <c r="E153" s="3">
        <v>12.99</v>
      </c>
      <c r="F153" s="20">
        <v>570</v>
      </c>
      <c r="G153" s="3">
        <v>4.32</v>
      </c>
      <c r="H153" t="e" vm="1">
        <v>#VALUE!</v>
      </c>
      <c r="I153" t="e" cm="1" vm="2">
        <f t="array" ref="I153">_FV(H153,"Country/region",TRUE)</f>
        <v>#VALUE!</v>
      </c>
      <c r="J153" t="s">
        <v>10</v>
      </c>
      <c r="K153" t="s">
        <v>11</v>
      </c>
      <c r="L153" t="s">
        <v>38</v>
      </c>
      <c r="M153">
        <f>Table1[[#This Row],[Price]]*Table1[[#This Row],[Quantity]]</f>
        <v>7404.3</v>
      </c>
    </row>
    <row r="154" spans="2:13" x14ac:dyDescent="0.3">
      <c r="B154" s="3">
        <v>10611</v>
      </c>
      <c r="C154" s="4">
        <v>44904</v>
      </c>
      <c r="D154" t="s">
        <v>25</v>
      </c>
      <c r="E154" s="3">
        <v>9.9499999999999993</v>
      </c>
      <c r="F154" s="20">
        <v>202</v>
      </c>
      <c r="G154" s="3">
        <v>2.85</v>
      </c>
      <c r="H154" t="e" vm="1">
        <v>#VALUE!</v>
      </c>
      <c r="I154" t="e" cm="1" vm="2">
        <f t="array" ref="I154">_FV(H154,"Country/region",TRUE)</f>
        <v>#VALUE!</v>
      </c>
      <c r="J154" t="s">
        <v>10</v>
      </c>
      <c r="K154" t="s">
        <v>11</v>
      </c>
      <c r="L154" t="s">
        <v>38</v>
      </c>
      <c r="M154">
        <f>Table1[[#This Row],[Price]]*Table1[[#This Row],[Quantity]]</f>
        <v>2009.8999999999999</v>
      </c>
    </row>
    <row r="155" spans="2:13" x14ac:dyDescent="0.3">
      <c r="B155" s="3">
        <v>10612</v>
      </c>
      <c r="C155" s="4">
        <v>44904</v>
      </c>
      <c r="D155" t="s">
        <v>9</v>
      </c>
      <c r="E155" s="3">
        <v>3.49</v>
      </c>
      <c r="F155" s="20">
        <v>631</v>
      </c>
      <c r="G155" s="3">
        <v>0.88</v>
      </c>
      <c r="H155" t="e" vm="1">
        <v>#VALUE!</v>
      </c>
      <c r="I155" t="e" cm="1" vm="2">
        <f t="array" ref="I155">_FV(H155,"Country/region",TRUE)</f>
        <v>#VALUE!</v>
      </c>
      <c r="J155" t="s">
        <v>10</v>
      </c>
      <c r="K155" t="s">
        <v>11</v>
      </c>
      <c r="L155" t="s">
        <v>38</v>
      </c>
      <c r="M155">
        <f>Table1[[#This Row],[Price]]*Table1[[#This Row],[Quantity]]</f>
        <v>2202.19</v>
      </c>
    </row>
    <row r="156" spans="2:13" x14ac:dyDescent="0.3">
      <c r="B156" s="3">
        <v>10613</v>
      </c>
      <c r="C156" s="4">
        <v>44904</v>
      </c>
      <c r="D156" t="s">
        <v>14</v>
      </c>
      <c r="E156" s="3">
        <v>2.95</v>
      </c>
      <c r="F156" s="20">
        <v>678</v>
      </c>
      <c r="G156" s="3">
        <v>0.47</v>
      </c>
      <c r="H156" t="e" vm="1">
        <v>#VALUE!</v>
      </c>
      <c r="I156" t="e" cm="1" vm="2">
        <f t="array" ref="I156">_FV(H156,"Country/region",TRUE)</f>
        <v>#VALUE!</v>
      </c>
      <c r="J156" t="s">
        <v>10</v>
      </c>
      <c r="K156" t="s">
        <v>11</v>
      </c>
      <c r="L156" t="s">
        <v>38</v>
      </c>
      <c r="M156">
        <f>Table1[[#This Row],[Price]]*Table1[[#This Row],[Quantity]]</f>
        <v>2000.1000000000001</v>
      </c>
    </row>
    <row r="157" spans="2:13" x14ac:dyDescent="0.3">
      <c r="B157" s="3">
        <v>10614</v>
      </c>
      <c r="C157" s="4">
        <v>44904</v>
      </c>
      <c r="D157" t="s">
        <v>17</v>
      </c>
      <c r="E157" s="3">
        <v>4.99</v>
      </c>
      <c r="F157" s="20">
        <v>201</v>
      </c>
      <c r="G157" s="3">
        <v>2.25</v>
      </c>
      <c r="H157" t="e" vm="1">
        <v>#VALUE!</v>
      </c>
      <c r="I157" t="e" cm="1" vm="2">
        <f t="array" ref="I157">_FV(H157,"Country/region",TRUE)</f>
        <v>#VALUE!</v>
      </c>
      <c r="J157" t="s">
        <v>10</v>
      </c>
      <c r="K157" t="s">
        <v>11</v>
      </c>
      <c r="L157" t="s">
        <v>38</v>
      </c>
      <c r="M157">
        <f>Table1[[#This Row],[Price]]*Table1[[#This Row],[Quantity]]</f>
        <v>1002.99</v>
      </c>
    </row>
    <row r="158" spans="2:13" x14ac:dyDescent="0.3">
      <c r="B158" s="3">
        <v>10615</v>
      </c>
      <c r="C158" s="4">
        <v>44905</v>
      </c>
      <c r="D158" t="s">
        <v>21</v>
      </c>
      <c r="E158" s="3">
        <v>12.99</v>
      </c>
      <c r="F158" s="20">
        <v>570</v>
      </c>
      <c r="G158" s="3">
        <v>4.32</v>
      </c>
      <c r="H158" t="e" vm="1">
        <v>#VALUE!</v>
      </c>
      <c r="I158" t="e" cm="1" vm="2">
        <f t="array" ref="I158">_FV(H158,"Country/region",TRUE)</f>
        <v>#VALUE!</v>
      </c>
      <c r="J158" t="s">
        <v>10</v>
      </c>
      <c r="K158" t="s">
        <v>11</v>
      </c>
      <c r="L158" t="s">
        <v>38</v>
      </c>
      <c r="M158">
        <f>Table1[[#This Row],[Price]]*Table1[[#This Row],[Quantity]]</f>
        <v>7404.3</v>
      </c>
    </row>
    <row r="159" spans="2:13" x14ac:dyDescent="0.3">
      <c r="B159" s="3">
        <v>10616</v>
      </c>
      <c r="C159" s="4">
        <v>44905</v>
      </c>
      <c r="D159" t="s">
        <v>25</v>
      </c>
      <c r="E159" s="3">
        <v>9.9499999999999993</v>
      </c>
      <c r="F159" s="20">
        <v>202</v>
      </c>
      <c r="G159" s="3">
        <v>2.85</v>
      </c>
      <c r="H159" t="e" vm="1">
        <v>#VALUE!</v>
      </c>
      <c r="I159" t="e" cm="1" vm="2">
        <f t="array" ref="I159">_FV(H159,"Country/region",TRUE)</f>
        <v>#VALUE!</v>
      </c>
      <c r="J159" t="s">
        <v>10</v>
      </c>
      <c r="K159" t="s">
        <v>11</v>
      </c>
      <c r="L159" t="s">
        <v>38</v>
      </c>
      <c r="M159">
        <f>Table1[[#This Row],[Price]]*Table1[[#This Row],[Quantity]]</f>
        <v>2009.8999999999999</v>
      </c>
    </row>
    <row r="160" spans="2:13" x14ac:dyDescent="0.3">
      <c r="B160" s="3">
        <v>10617</v>
      </c>
      <c r="C160" s="4">
        <v>44905</v>
      </c>
      <c r="D160" t="s">
        <v>9</v>
      </c>
      <c r="E160" s="3">
        <v>3.49</v>
      </c>
      <c r="F160" s="20">
        <v>631</v>
      </c>
      <c r="G160" s="3">
        <v>0.88</v>
      </c>
      <c r="H160" t="e" vm="1">
        <v>#VALUE!</v>
      </c>
      <c r="I160" t="e" cm="1" vm="2">
        <f t="array" ref="I160">_FV(H160,"Country/region",TRUE)</f>
        <v>#VALUE!</v>
      </c>
      <c r="J160" t="s">
        <v>10</v>
      </c>
      <c r="K160" t="s">
        <v>11</v>
      </c>
      <c r="L160" t="s">
        <v>38</v>
      </c>
      <c r="M160">
        <f>Table1[[#This Row],[Price]]*Table1[[#This Row],[Quantity]]</f>
        <v>2202.19</v>
      </c>
    </row>
    <row r="161" spans="2:13" x14ac:dyDescent="0.3">
      <c r="B161" s="3">
        <v>10618</v>
      </c>
      <c r="C161" s="4">
        <v>44905</v>
      </c>
      <c r="D161" t="s">
        <v>14</v>
      </c>
      <c r="E161" s="3">
        <v>2.95</v>
      </c>
      <c r="F161" s="20">
        <v>678</v>
      </c>
      <c r="G161" s="3">
        <v>0.47</v>
      </c>
      <c r="H161" t="e" vm="1">
        <v>#VALUE!</v>
      </c>
      <c r="I161" t="e" cm="1" vm="2">
        <f t="array" ref="I161">_FV(H161,"Country/region",TRUE)</f>
        <v>#VALUE!</v>
      </c>
      <c r="J161" t="s">
        <v>10</v>
      </c>
      <c r="K161" t="s">
        <v>11</v>
      </c>
      <c r="L161" t="s">
        <v>38</v>
      </c>
      <c r="M161">
        <f>Table1[[#This Row],[Price]]*Table1[[#This Row],[Quantity]]</f>
        <v>2000.1000000000001</v>
      </c>
    </row>
    <row r="162" spans="2:13" x14ac:dyDescent="0.3">
      <c r="B162" s="3">
        <v>10619</v>
      </c>
      <c r="C162" s="4">
        <v>44905</v>
      </c>
      <c r="D162" t="s">
        <v>17</v>
      </c>
      <c r="E162" s="3">
        <v>4.99</v>
      </c>
      <c r="F162" s="20">
        <v>201</v>
      </c>
      <c r="G162" s="3">
        <v>2.25</v>
      </c>
      <c r="H162" t="e" vm="1">
        <v>#VALUE!</v>
      </c>
      <c r="I162" t="e" cm="1" vm="2">
        <f t="array" ref="I162">_FV(H162,"Country/region",TRUE)</f>
        <v>#VALUE!</v>
      </c>
      <c r="J162" t="s">
        <v>10</v>
      </c>
      <c r="K162" t="s">
        <v>11</v>
      </c>
      <c r="L162" t="s">
        <v>38</v>
      </c>
      <c r="M162">
        <f>Table1[[#This Row],[Price]]*Table1[[#This Row],[Quantity]]</f>
        <v>1002.99</v>
      </c>
    </row>
    <row r="163" spans="2:13" x14ac:dyDescent="0.3">
      <c r="B163" s="3">
        <v>10620</v>
      </c>
      <c r="C163" s="4">
        <v>44906</v>
      </c>
      <c r="D163" t="s">
        <v>21</v>
      </c>
      <c r="E163" s="3">
        <v>12.99</v>
      </c>
      <c r="F163" s="20">
        <v>586</v>
      </c>
      <c r="G163" s="3">
        <v>4.32</v>
      </c>
      <c r="H163" t="e" vm="1">
        <v>#VALUE!</v>
      </c>
      <c r="I163" t="e" cm="1" vm="2">
        <f t="array" ref="I163">_FV(H163,"Country/region",TRUE)</f>
        <v>#VALUE!</v>
      </c>
      <c r="J163" t="s">
        <v>10</v>
      </c>
      <c r="K163" t="s">
        <v>11</v>
      </c>
      <c r="L163" t="s">
        <v>38</v>
      </c>
      <c r="M163">
        <f>Table1[[#This Row],[Price]]*Table1[[#This Row],[Quantity]]</f>
        <v>7612.14</v>
      </c>
    </row>
    <row r="164" spans="2:13" x14ac:dyDescent="0.3">
      <c r="B164" s="3">
        <v>10621</v>
      </c>
      <c r="C164" s="4">
        <v>44906</v>
      </c>
      <c r="D164" t="s">
        <v>25</v>
      </c>
      <c r="E164" s="3">
        <v>9.9499999999999993</v>
      </c>
      <c r="F164" s="20">
        <v>202</v>
      </c>
      <c r="G164" s="3">
        <v>2.85</v>
      </c>
      <c r="H164" t="e" vm="1">
        <v>#VALUE!</v>
      </c>
      <c r="I164" t="e" cm="1" vm="2">
        <f t="array" ref="I164">_FV(H164,"Country/region",TRUE)</f>
        <v>#VALUE!</v>
      </c>
      <c r="J164" t="s">
        <v>10</v>
      </c>
      <c r="K164" t="s">
        <v>11</v>
      </c>
      <c r="L164" t="s">
        <v>38</v>
      </c>
      <c r="M164">
        <f>Table1[[#This Row],[Price]]*Table1[[#This Row],[Quantity]]</f>
        <v>2009.8999999999999</v>
      </c>
    </row>
    <row r="165" spans="2:13" x14ac:dyDescent="0.3">
      <c r="B165" s="3">
        <v>10622</v>
      </c>
      <c r="C165" s="4">
        <v>44906</v>
      </c>
      <c r="D165" t="s">
        <v>9</v>
      </c>
      <c r="E165" s="3">
        <v>3.49</v>
      </c>
      <c r="F165" s="20">
        <v>631</v>
      </c>
      <c r="G165" s="3">
        <v>0.88</v>
      </c>
      <c r="H165" t="e" vm="1">
        <v>#VALUE!</v>
      </c>
      <c r="I165" t="e" cm="1" vm="2">
        <f t="array" ref="I165">_FV(H165,"Country/region",TRUE)</f>
        <v>#VALUE!</v>
      </c>
      <c r="J165" t="s">
        <v>10</v>
      </c>
      <c r="K165" t="s">
        <v>11</v>
      </c>
      <c r="L165" t="s">
        <v>38</v>
      </c>
      <c r="M165">
        <f>Table1[[#This Row],[Price]]*Table1[[#This Row],[Quantity]]</f>
        <v>2202.19</v>
      </c>
    </row>
    <row r="166" spans="2:13" x14ac:dyDescent="0.3">
      <c r="B166" s="3">
        <v>10623</v>
      </c>
      <c r="C166" s="4">
        <v>44906</v>
      </c>
      <c r="D166" t="s">
        <v>14</v>
      </c>
      <c r="E166" s="3">
        <v>2.95</v>
      </c>
      <c r="F166" s="20">
        <v>746</v>
      </c>
      <c r="G166" s="3">
        <v>0.47</v>
      </c>
      <c r="H166" t="e" vm="1">
        <v>#VALUE!</v>
      </c>
      <c r="I166" t="e" cm="1" vm="2">
        <f t="array" ref="I166">_FV(H166,"Country/region",TRUE)</f>
        <v>#VALUE!</v>
      </c>
      <c r="J166" t="s">
        <v>10</v>
      </c>
      <c r="K166" t="s">
        <v>11</v>
      </c>
      <c r="L166" t="s">
        <v>38</v>
      </c>
      <c r="M166">
        <f>Table1[[#This Row],[Price]]*Table1[[#This Row],[Quantity]]</f>
        <v>2200.7000000000003</v>
      </c>
    </row>
    <row r="167" spans="2:13" x14ac:dyDescent="0.3">
      <c r="B167" s="3">
        <v>10624</v>
      </c>
      <c r="C167" s="4">
        <v>44906</v>
      </c>
      <c r="D167" t="s">
        <v>17</v>
      </c>
      <c r="E167" s="3">
        <v>4.99</v>
      </c>
      <c r="F167" s="20">
        <v>201</v>
      </c>
      <c r="G167" s="3">
        <v>2.25</v>
      </c>
      <c r="H167" t="e" vm="1">
        <v>#VALUE!</v>
      </c>
      <c r="I167" t="e" cm="1" vm="2">
        <f t="array" ref="I167">_FV(H167,"Country/region",TRUE)</f>
        <v>#VALUE!</v>
      </c>
      <c r="J167" t="s">
        <v>10</v>
      </c>
      <c r="K167" t="s">
        <v>11</v>
      </c>
      <c r="L167" t="s">
        <v>38</v>
      </c>
      <c r="M167">
        <f>Table1[[#This Row],[Price]]*Table1[[#This Row],[Quantity]]</f>
        <v>1002.99</v>
      </c>
    </row>
    <row r="168" spans="2:13" x14ac:dyDescent="0.3">
      <c r="B168" s="3">
        <v>10625</v>
      </c>
      <c r="C168" s="4">
        <v>44907</v>
      </c>
      <c r="D168" t="s">
        <v>21</v>
      </c>
      <c r="E168" s="3">
        <v>12.99</v>
      </c>
      <c r="F168" s="20">
        <v>570</v>
      </c>
      <c r="G168" s="3">
        <v>4.32</v>
      </c>
      <c r="H168" t="e" vm="1">
        <v>#VALUE!</v>
      </c>
      <c r="I168" t="e" cm="1" vm="2">
        <f t="array" ref="I168">_FV(H168,"Country/region",TRUE)</f>
        <v>#VALUE!</v>
      </c>
      <c r="J168" t="s">
        <v>10</v>
      </c>
      <c r="K168" t="s">
        <v>11</v>
      </c>
      <c r="L168" t="s">
        <v>38</v>
      </c>
      <c r="M168">
        <f>Table1[[#This Row],[Price]]*Table1[[#This Row],[Quantity]]</f>
        <v>7404.3</v>
      </c>
    </row>
    <row r="169" spans="2:13" x14ac:dyDescent="0.3">
      <c r="B169" s="3">
        <v>10626</v>
      </c>
      <c r="C169" s="4">
        <v>44907</v>
      </c>
      <c r="D169" t="s">
        <v>25</v>
      </c>
      <c r="E169" s="3">
        <v>9.9499999999999993</v>
      </c>
      <c r="F169" s="20">
        <v>202</v>
      </c>
      <c r="G169" s="3">
        <v>2.85</v>
      </c>
      <c r="H169" t="e" vm="1">
        <v>#VALUE!</v>
      </c>
      <c r="I169" t="e" cm="1" vm="2">
        <f t="array" ref="I169">_FV(H169,"Country/region",TRUE)</f>
        <v>#VALUE!</v>
      </c>
      <c r="J169" t="s">
        <v>10</v>
      </c>
      <c r="K169" t="s">
        <v>11</v>
      </c>
      <c r="L169" t="s">
        <v>38</v>
      </c>
      <c r="M169">
        <f>Table1[[#This Row],[Price]]*Table1[[#This Row],[Quantity]]</f>
        <v>2009.8999999999999</v>
      </c>
    </row>
    <row r="170" spans="2:13" x14ac:dyDescent="0.3">
      <c r="B170" s="3">
        <v>10627</v>
      </c>
      <c r="C170" s="4">
        <v>44907</v>
      </c>
      <c r="D170" t="s">
        <v>9</v>
      </c>
      <c r="E170" s="3">
        <v>3.49</v>
      </c>
      <c r="F170" s="20">
        <v>631</v>
      </c>
      <c r="G170" s="3">
        <v>0.88</v>
      </c>
      <c r="H170" t="e" vm="1">
        <v>#VALUE!</v>
      </c>
      <c r="I170" t="e" cm="1" vm="2">
        <f t="array" ref="I170">_FV(H170,"Country/region",TRUE)</f>
        <v>#VALUE!</v>
      </c>
      <c r="J170" t="s">
        <v>10</v>
      </c>
      <c r="K170" t="s">
        <v>11</v>
      </c>
      <c r="L170" t="s">
        <v>38</v>
      </c>
      <c r="M170">
        <f>Table1[[#This Row],[Price]]*Table1[[#This Row],[Quantity]]</f>
        <v>2202.19</v>
      </c>
    </row>
    <row r="171" spans="2:13" x14ac:dyDescent="0.3">
      <c r="B171" s="3">
        <v>10628</v>
      </c>
      <c r="C171" s="4">
        <v>44907</v>
      </c>
      <c r="D171" t="s">
        <v>14</v>
      </c>
      <c r="E171" s="3">
        <v>2.95</v>
      </c>
      <c r="F171" s="20">
        <v>678</v>
      </c>
      <c r="G171" s="3">
        <v>0.47</v>
      </c>
      <c r="H171" s="6" t="e" vm="5">
        <v>#VALUE!</v>
      </c>
      <c r="I171" t="e" cm="1" vm="6">
        <f t="array" ref="I171">_FV(H171,"Country/region",TRUE)</f>
        <v>#VALUE!</v>
      </c>
      <c r="J171" t="s">
        <v>10</v>
      </c>
      <c r="K171" t="s">
        <v>11</v>
      </c>
      <c r="L171" t="s">
        <v>35</v>
      </c>
      <c r="M171">
        <f>Table1[[#This Row],[Price]]*Table1[[#This Row],[Quantity]]</f>
        <v>2000.1000000000001</v>
      </c>
    </row>
    <row r="172" spans="2:13" x14ac:dyDescent="0.3">
      <c r="B172" s="3">
        <v>10629</v>
      </c>
      <c r="C172" s="4">
        <v>44907</v>
      </c>
      <c r="D172" t="s">
        <v>17</v>
      </c>
      <c r="E172" s="3">
        <v>4.99</v>
      </c>
      <c r="F172" s="20">
        <v>201</v>
      </c>
      <c r="G172" s="3">
        <v>2.25</v>
      </c>
      <c r="H172" s="6" t="e" vm="5">
        <v>#VALUE!</v>
      </c>
      <c r="I172" t="e" cm="1" vm="6">
        <f t="array" ref="I172">_FV(H172,"Country/region",TRUE)</f>
        <v>#VALUE!</v>
      </c>
      <c r="J172" t="s">
        <v>10</v>
      </c>
      <c r="K172" t="s">
        <v>11</v>
      </c>
      <c r="L172" t="s">
        <v>35</v>
      </c>
      <c r="M172">
        <f>Table1[[#This Row],[Price]]*Table1[[#This Row],[Quantity]]</f>
        <v>1002.99</v>
      </c>
    </row>
    <row r="173" spans="2:13" x14ac:dyDescent="0.3">
      <c r="B173" s="3">
        <v>10630</v>
      </c>
      <c r="C173" s="4">
        <v>44908</v>
      </c>
      <c r="D173" t="s">
        <v>21</v>
      </c>
      <c r="E173" s="3">
        <v>12.99</v>
      </c>
      <c r="F173" s="20">
        <v>570</v>
      </c>
      <c r="G173" s="3">
        <v>4.32</v>
      </c>
      <c r="H173" s="6" t="e" vm="5">
        <v>#VALUE!</v>
      </c>
      <c r="I173" t="e" cm="1" vm="6">
        <f t="array" ref="I173">_FV(H173,"Country/region",TRUE)</f>
        <v>#VALUE!</v>
      </c>
      <c r="J173" t="s">
        <v>10</v>
      </c>
      <c r="K173" t="s">
        <v>37</v>
      </c>
      <c r="L173" t="s">
        <v>35</v>
      </c>
      <c r="M173">
        <f>Table1[[#This Row],[Price]]*Table1[[#This Row],[Quantity]]</f>
        <v>7404.3</v>
      </c>
    </row>
    <row r="174" spans="2:13" x14ac:dyDescent="0.3">
      <c r="B174" s="3">
        <v>10631</v>
      </c>
      <c r="C174" s="4">
        <v>44908</v>
      </c>
      <c r="D174" t="s">
        <v>25</v>
      </c>
      <c r="E174" s="3">
        <v>9.9499999999999993</v>
      </c>
      <c r="F174" s="20">
        <v>202</v>
      </c>
      <c r="G174" s="3">
        <v>2.85</v>
      </c>
      <c r="H174" s="6" t="e" vm="5">
        <v>#VALUE!</v>
      </c>
      <c r="I174" t="e" cm="1" vm="6">
        <f t="array" ref="I174">_FV(H174,"Country/region",TRUE)</f>
        <v>#VALUE!</v>
      </c>
      <c r="J174" t="s">
        <v>10</v>
      </c>
      <c r="K174" t="s">
        <v>11</v>
      </c>
      <c r="L174" t="s">
        <v>35</v>
      </c>
      <c r="M174">
        <f>Table1[[#This Row],[Price]]*Table1[[#This Row],[Quantity]]</f>
        <v>2009.8999999999999</v>
      </c>
    </row>
    <row r="175" spans="2:13" x14ac:dyDescent="0.3">
      <c r="B175" s="3">
        <v>10632</v>
      </c>
      <c r="C175" s="4">
        <v>44908</v>
      </c>
      <c r="D175" t="s">
        <v>9</v>
      </c>
      <c r="E175" s="3">
        <v>3.49</v>
      </c>
      <c r="F175" s="20">
        <v>631</v>
      </c>
      <c r="G175" s="3">
        <v>0.88</v>
      </c>
      <c r="H175" s="6" t="e" vm="5">
        <v>#VALUE!</v>
      </c>
      <c r="I175" t="e" cm="1" vm="6">
        <f t="array" ref="I175">_FV(H175,"Country/region",TRUE)</f>
        <v>#VALUE!</v>
      </c>
      <c r="J175" t="s">
        <v>10</v>
      </c>
      <c r="K175" t="s">
        <v>11</v>
      </c>
      <c r="L175" t="s">
        <v>35</v>
      </c>
      <c r="M175">
        <f>Table1[[#This Row],[Price]]*Table1[[#This Row],[Quantity]]</f>
        <v>2202.19</v>
      </c>
    </row>
    <row r="176" spans="2:13" x14ac:dyDescent="0.3">
      <c r="B176" s="3">
        <v>10633</v>
      </c>
      <c r="C176" s="4">
        <v>44908</v>
      </c>
      <c r="D176" t="s">
        <v>14</v>
      </c>
      <c r="E176" s="3">
        <v>2.95</v>
      </c>
      <c r="F176" s="20">
        <v>678</v>
      </c>
      <c r="G176" s="3">
        <v>0.47</v>
      </c>
      <c r="H176" s="6" t="e" vm="5">
        <v>#VALUE!</v>
      </c>
      <c r="I176" t="e" cm="1" vm="6">
        <f t="array" ref="I176">_FV(H176,"Country/region",TRUE)</f>
        <v>#VALUE!</v>
      </c>
      <c r="J176" t="s">
        <v>10</v>
      </c>
      <c r="K176" t="s">
        <v>11</v>
      </c>
      <c r="L176" t="s">
        <v>35</v>
      </c>
      <c r="M176">
        <f>Table1[[#This Row],[Price]]*Table1[[#This Row],[Quantity]]</f>
        <v>2000.1000000000001</v>
      </c>
    </row>
    <row r="177" spans="2:13" x14ac:dyDescent="0.3">
      <c r="B177" s="3">
        <v>10634</v>
      </c>
      <c r="C177" s="4">
        <v>44908</v>
      </c>
      <c r="D177" t="s">
        <v>17</v>
      </c>
      <c r="E177" s="3">
        <v>4.99</v>
      </c>
      <c r="F177" s="20">
        <v>201</v>
      </c>
      <c r="G177" s="3">
        <v>2.25</v>
      </c>
      <c r="H177" s="6" t="e" vm="5">
        <v>#VALUE!</v>
      </c>
      <c r="I177" t="e" cm="1" vm="6">
        <f t="array" ref="I177">_FV(H177,"Country/region",TRUE)</f>
        <v>#VALUE!</v>
      </c>
      <c r="J177" t="s">
        <v>10</v>
      </c>
      <c r="K177" t="s">
        <v>11</v>
      </c>
      <c r="L177" t="s">
        <v>35</v>
      </c>
      <c r="M177">
        <f>Table1[[#This Row],[Price]]*Table1[[#This Row],[Quantity]]</f>
        <v>1002.99</v>
      </c>
    </row>
    <row r="178" spans="2:13" x14ac:dyDescent="0.3">
      <c r="B178" s="3">
        <v>10635</v>
      </c>
      <c r="C178" s="4">
        <v>44909</v>
      </c>
      <c r="D178" t="s">
        <v>21</v>
      </c>
      <c r="E178" s="3">
        <v>12.99</v>
      </c>
      <c r="F178" s="20">
        <v>555</v>
      </c>
      <c r="G178" s="3">
        <v>4.32</v>
      </c>
      <c r="H178" s="6" t="e" vm="5">
        <v>#VALUE!</v>
      </c>
      <c r="I178" t="e" cm="1" vm="6">
        <f t="array" ref="I178">_FV(H178,"Country/region",TRUE)</f>
        <v>#VALUE!</v>
      </c>
      <c r="J178" t="s">
        <v>10</v>
      </c>
      <c r="K178" t="s">
        <v>11</v>
      </c>
      <c r="L178" t="s">
        <v>35</v>
      </c>
      <c r="M178">
        <f>Table1[[#This Row],[Price]]*Table1[[#This Row],[Quantity]]</f>
        <v>7209.45</v>
      </c>
    </row>
    <row r="179" spans="2:13" x14ac:dyDescent="0.3">
      <c r="B179" s="3">
        <v>10636</v>
      </c>
      <c r="C179" s="4">
        <v>44909</v>
      </c>
      <c r="D179" t="s">
        <v>25</v>
      </c>
      <c r="E179" s="3">
        <v>9.9499999999999993</v>
      </c>
      <c r="F179" s="20">
        <v>222</v>
      </c>
      <c r="G179" s="3">
        <v>2.85</v>
      </c>
      <c r="H179" s="6" t="e" vm="5">
        <v>#VALUE!</v>
      </c>
      <c r="I179" t="e" cm="1" vm="6">
        <f t="array" ref="I179">_FV(H179,"Country/region",TRUE)</f>
        <v>#VALUE!</v>
      </c>
      <c r="J179" t="s">
        <v>10</v>
      </c>
      <c r="K179" t="s">
        <v>11</v>
      </c>
      <c r="L179" t="s">
        <v>35</v>
      </c>
      <c r="M179">
        <f>Table1[[#This Row],[Price]]*Table1[[#This Row],[Quantity]]</f>
        <v>2208.8999999999996</v>
      </c>
    </row>
    <row r="180" spans="2:13" x14ac:dyDescent="0.3">
      <c r="B180" s="3">
        <v>10637</v>
      </c>
      <c r="C180" s="4">
        <v>44909</v>
      </c>
      <c r="D180" t="s">
        <v>9</v>
      </c>
      <c r="E180" s="3">
        <v>3.49</v>
      </c>
      <c r="F180" s="20">
        <v>631</v>
      </c>
      <c r="G180" s="3">
        <v>0.88</v>
      </c>
      <c r="H180" s="6" t="e" vm="5">
        <v>#VALUE!</v>
      </c>
      <c r="I180" t="e" cm="1" vm="6">
        <f t="array" ref="I180">_FV(H180,"Country/region",TRUE)</f>
        <v>#VALUE!</v>
      </c>
      <c r="J180" t="s">
        <v>10</v>
      </c>
      <c r="K180" t="s">
        <v>11</v>
      </c>
      <c r="L180" t="s">
        <v>35</v>
      </c>
      <c r="M180">
        <f>Table1[[#This Row],[Price]]*Table1[[#This Row],[Quantity]]</f>
        <v>2202.19</v>
      </c>
    </row>
    <row r="181" spans="2:13" x14ac:dyDescent="0.3">
      <c r="B181" s="3">
        <v>10638</v>
      </c>
      <c r="C181" s="4">
        <v>44909</v>
      </c>
      <c r="D181" t="s">
        <v>14</v>
      </c>
      <c r="E181" s="3">
        <v>2.95</v>
      </c>
      <c r="F181" s="20">
        <v>678</v>
      </c>
      <c r="G181" s="3">
        <v>0.47</v>
      </c>
      <c r="H181" s="6" t="e" vm="5">
        <v>#VALUE!</v>
      </c>
      <c r="I181" t="e" cm="1" vm="6">
        <f t="array" ref="I181">_FV(H181,"Country/region",TRUE)</f>
        <v>#VALUE!</v>
      </c>
      <c r="J181" t="s">
        <v>10</v>
      </c>
      <c r="K181" t="s">
        <v>11</v>
      </c>
      <c r="L181" t="s">
        <v>35</v>
      </c>
      <c r="M181">
        <f>Table1[[#This Row],[Price]]*Table1[[#This Row],[Quantity]]</f>
        <v>2000.1000000000001</v>
      </c>
    </row>
    <row r="182" spans="2:13" x14ac:dyDescent="0.3">
      <c r="B182" s="3">
        <v>10639</v>
      </c>
      <c r="C182" s="4">
        <v>44909</v>
      </c>
      <c r="D182" t="s">
        <v>17</v>
      </c>
      <c r="E182" s="3">
        <v>4.99</v>
      </c>
      <c r="F182" s="20">
        <v>201</v>
      </c>
      <c r="G182" s="3">
        <v>2.25</v>
      </c>
      <c r="H182" s="6" t="e" vm="5">
        <v>#VALUE!</v>
      </c>
      <c r="I182" t="e" cm="1" vm="6">
        <f t="array" ref="I182">_FV(H182,"Country/region",TRUE)</f>
        <v>#VALUE!</v>
      </c>
      <c r="J182" t="s">
        <v>10</v>
      </c>
      <c r="K182" t="s">
        <v>11</v>
      </c>
      <c r="L182" t="s">
        <v>35</v>
      </c>
      <c r="M182">
        <f>Table1[[#This Row],[Price]]*Table1[[#This Row],[Quantity]]</f>
        <v>1002.99</v>
      </c>
    </row>
    <row r="183" spans="2:13" x14ac:dyDescent="0.3">
      <c r="B183" s="3">
        <v>10640</v>
      </c>
      <c r="C183" s="4">
        <v>44910</v>
      </c>
      <c r="D183" t="s">
        <v>21</v>
      </c>
      <c r="E183" s="3">
        <v>12.99</v>
      </c>
      <c r="F183" s="20">
        <v>539</v>
      </c>
      <c r="G183" s="3">
        <v>4.32</v>
      </c>
      <c r="H183" s="6" t="e" vm="5">
        <v>#VALUE!</v>
      </c>
      <c r="I183" t="e" cm="1" vm="6">
        <f t="array" ref="I183">_FV(H183,"Country/region",TRUE)</f>
        <v>#VALUE!</v>
      </c>
      <c r="J183" t="s">
        <v>10</v>
      </c>
      <c r="K183" t="s">
        <v>11</v>
      </c>
      <c r="L183" t="s">
        <v>35</v>
      </c>
      <c r="M183">
        <f>Table1[[#This Row],[Price]]*Table1[[#This Row],[Quantity]]</f>
        <v>7001.61</v>
      </c>
    </row>
    <row r="184" spans="2:13" x14ac:dyDescent="0.3">
      <c r="B184" s="3">
        <v>10641</v>
      </c>
      <c r="C184" s="4">
        <v>44910</v>
      </c>
      <c r="D184" t="s">
        <v>25</v>
      </c>
      <c r="E184" s="3">
        <v>9.9499999999999993</v>
      </c>
      <c r="F184" s="20">
        <v>222</v>
      </c>
      <c r="G184" s="3">
        <v>2.85</v>
      </c>
      <c r="H184" s="6" t="e" vm="5">
        <v>#VALUE!</v>
      </c>
      <c r="I184" t="e" cm="1" vm="6">
        <f t="array" ref="I184">_FV(H184,"Country/region",TRUE)</f>
        <v>#VALUE!</v>
      </c>
      <c r="J184" t="s">
        <v>10</v>
      </c>
      <c r="K184" t="s">
        <v>11</v>
      </c>
      <c r="L184" t="s">
        <v>35</v>
      </c>
      <c r="M184">
        <f>Table1[[#This Row],[Price]]*Table1[[#This Row],[Quantity]]</f>
        <v>2208.8999999999996</v>
      </c>
    </row>
    <row r="185" spans="2:13" x14ac:dyDescent="0.3">
      <c r="B185" s="3">
        <v>10642</v>
      </c>
      <c r="C185" s="4">
        <v>44910</v>
      </c>
      <c r="D185" t="s">
        <v>9</v>
      </c>
      <c r="E185" s="3">
        <v>3.49</v>
      </c>
      <c r="F185" s="20">
        <v>631</v>
      </c>
      <c r="G185" s="3">
        <v>0.88</v>
      </c>
      <c r="H185" s="6" t="e" vm="5">
        <v>#VALUE!</v>
      </c>
      <c r="I185" t="e" cm="1" vm="6">
        <f t="array" ref="I185">_FV(H185,"Country/region",TRUE)</f>
        <v>#VALUE!</v>
      </c>
      <c r="J185" t="s">
        <v>10</v>
      </c>
      <c r="K185" t="s">
        <v>37</v>
      </c>
      <c r="L185" t="s">
        <v>35</v>
      </c>
      <c r="M185">
        <f>Table1[[#This Row],[Price]]*Table1[[#This Row],[Quantity]]</f>
        <v>2202.19</v>
      </c>
    </row>
    <row r="186" spans="2:13" x14ac:dyDescent="0.3">
      <c r="B186" s="3">
        <v>10643</v>
      </c>
      <c r="C186" s="4">
        <v>44910</v>
      </c>
      <c r="D186" t="s">
        <v>14</v>
      </c>
      <c r="E186" s="3">
        <v>2.95</v>
      </c>
      <c r="F186" s="20">
        <v>678</v>
      </c>
      <c r="G186" s="3">
        <v>0.47</v>
      </c>
      <c r="H186" s="6" t="e" vm="5">
        <v>#VALUE!</v>
      </c>
      <c r="I186" t="e" cm="1" vm="6">
        <f t="array" ref="I186">_FV(H186,"Country/region",TRUE)</f>
        <v>#VALUE!</v>
      </c>
      <c r="J186" t="s">
        <v>10</v>
      </c>
      <c r="K186" t="s">
        <v>37</v>
      </c>
      <c r="L186" t="s">
        <v>35</v>
      </c>
      <c r="M186">
        <f>Table1[[#This Row],[Price]]*Table1[[#This Row],[Quantity]]</f>
        <v>2000.1000000000001</v>
      </c>
    </row>
    <row r="187" spans="2:13" x14ac:dyDescent="0.3">
      <c r="B187" s="3">
        <v>10644</v>
      </c>
      <c r="C187" s="4">
        <v>44910</v>
      </c>
      <c r="D187" t="s">
        <v>17</v>
      </c>
      <c r="E187" s="3">
        <v>4.99</v>
      </c>
      <c r="F187" s="20">
        <v>201</v>
      </c>
      <c r="G187" s="3">
        <v>2.25</v>
      </c>
      <c r="H187" s="6" t="e" vm="5">
        <v>#VALUE!</v>
      </c>
      <c r="I187" t="e" cm="1" vm="6">
        <f t="array" ref="I187">_FV(H187,"Country/region",TRUE)</f>
        <v>#VALUE!</v>
      </c>
      <c r="J187" t="s">
        <v>10</v>
      </c>
      <c r="K187" t="s">
        <v>37</v>
      </c>
      <c r="L187" t="s">
        <v>35</v>
      </c>
      <c r="M187">
        <f>Table1[[#This Row],[Price]]*Table1[[#This Row],[Quantity]]</f>
        <v>1002.99</v>
      </c>
    </row>
    <row r="188" spans="2:13" x14ac:dyDescent="0.3">
      <c r="B188" s="3">
        <v>10645</v>
      </c>
      <c r="C188" s="4">
        <v>44911</v>
      </c>
      <c r="D188" t="s">
        <v>21</v>
      </c>
      <c r="E188" s="3">
        <v>12.99</v>
      </c>
      <c r="F188" s="20">
        <v>570</v>
      </c>
      <c r="G188" s="3">
        <v>4.32</v>
      </c>
      <c r="H188" s="6" t="e" vm="5">
        <v>#VALUE!</v>
      </c>
      <c r="I188" t="e" cm="1" vm="6">
        <f t="array" ref="I188">_FV(H188,"Country/region",TRUE)</f>
        <v>#VALUE!</v>
      </c>
      <c r="J188" t="s">
        <v>10</v>
      </c>
      <c r="K188" t="s">
        <v>37</v>
      </c>
      <c r="L188" t="s">
        <v>35</v>
      </c>
      <c r="M188">
        <f>Table1[[#This Row],[Price]]*Table1[[#This Row],[Quantity]]</f>
        <v>7404.3</v>
      </c>
    </row>
    <row r="189" spans="2:13" x14ac:dyDescent="0.3">
      <c r="B189" s="3">
        <v>10646</v>
      </c>
      <c r="C189" s="4">
        <v>44911</v>
      </c>
      <c r="D189" t="s">
        <v>25</v>
      </c>
      <c r="E189" s="3">
        <v>9.9499999999999993</v>
      </c>
      <c r="F189" s="20">
        <v>222</v>
      </c>
      <c r="G189" s="3">
        <v>2.85</v>
      </c>
      <c r="H189" s="6" t="e" vm="5">
        <v>#VALUE!</v>
      </c>
      <c r="I189" t="e" cm="1" vm="6">
        <f t="array" ref="I189">_FV(H189,"Country/region",TRUE)</f>
        <v>#VALUE!</v>
      </c>
      <c r="J189" t="s">
        <v>10</v>
      </c>
      <c r="K189" t="s">
        <v>37</v>
      </c>
      <c r="L189" t="s">
        <v>35</v>
      </c>
      <c r="M189">
        <f>Table1[[#This Row],[Price]]*Table1[[#This Row],[Quantity]]</f>
        <v>2208.8999999999996</v>
      </c>
    </row>
    <row r="190" spans="2:13" x14ac:dyDescent="0.3">
      <c r="B190" s="3">
        <v>10647</v>
      </c>
      <c r="C190" s="4">
        <v>44911</v>
      </c>
      <c r="D190" t="s">
        <v>9</v>
      </c>
      <c r="E190" s="3">
        <v>3.49</v>
      </c>
      <c r="F190" s="20">
        <v>631</v>
      </c>
      <c r="G190" s="3">
        <v>0.88</v>
      </c>
      <c r="H190" s="6" t="e" vm="5">
        <v>#VALUE!</v>
      </c>
      <c r="I190" t="e" cm="1" vm="6">
        <f t="array" ref="I190">_FV(H190,"Country/region",TRUE)</f>
        <v>#VALUE!</v>
      </c>
      <c r="J190" t="s">
        <v>10</v>
      </c>
      <c r="K190" t="s">
        <v>11</v>
      </c>
      <c r="L190" t="s">
        <v>35</v>
      </c>
      <c r="M190">
        <f>Table1[[#This Row],[Price]]*Table1[[#This Row],[Quantity]]</f>
        <v>2202.19</v>
      </c>
    </row>
    <row r="191" spans="2:13" x14ac:dyDescent="0.3">
      <c r="B191" s="3">
        <v>10648</v>
      </c>
      <c r="C191" s="4">
        <v>44911</v>
      </c>
      <c r="D191" t="s">
        <v>14</v>
      </c>
      <c r="E191" s="3">
        <v>2.95</v>
      </c>
      <c r="F191" s="20">
        <v>746</v>
      </c>
      <c r="G191" s="3">
        <v>0.47</v>
      </c>
      <c r="H191" s="6" t="e" vm="5">
        <v>#VALUE!</v>
      </c>
      <c r="I191" t="e" cm="1" vm="6">
        <f t="array" ref="I191">_FV(H191,"Country/region",TRUE)</f>
        <v>#VALUE!</v>
      </c>
      <c r="J191" t="s">
        <v>10</v>
      </c>
      <c r="K191" t="s">
        <v>11</v>
      </c>
      <c r="L191" t="s">
        <v>35</v>
      </c>
      <c r="M191">
        <f>Table1[[#This Row],[Price]]*Table1[[#This Row],[Quantity]]</f>
        <v>2200.7000000000003</v>
      </c>
    </row>
    <row r="192" spans="2:13" x14ac:dyDescent="0.3">
      <c r="B192" s="3">
        <v>10649</v>
      </c>
      <c r="C192" s="4">
        <v>44911</v>
      </c>
      <c r="D192" t="s">
        <v>17</v>
      </c>
      <c r="E192" s="3">
        <v>4.99</v>
      </c>
      <c r="F192" s="20">
        <v>201</v>
      </c>
      <c r="G192" s="3">
        <v>2.25</v>
      </c>
      <c r="H192" s="6" t="e" vm="5">
        <v>#VALUE!</v>
      </c>
      <c r="I192" t="e" cm="1" vm="6">
        <f t="array" ref="I192">_FV(H192,"Country/region",TRUE)</f>
        <v>#VALUE!</v>
      </c>
      <c r="J192" t="s">
        <v>10</v>
      </c>
      <c r="K192" t="s">
        <v>11</v>
      </c>
      <c r="L192" t="s">
        <v>35</v>
      </c>
      <c r="M192">
        <f>Table1[[#This Row],[Price]]*Table1[[#This Row],[Quantity]]</f>
        <v>1002.99</v>
      </c>
    </row>
    <row r="193" spans="2:13" x14ac:dyDescent="0.3">
      <c r="B193" s="3">
        <v>10650</v>
      </c>
      <c r="C193" s="4">
        <v>44912</v>
      </c>
      <c r="D193" t="s">
        <v>21</v>
      </c>
      <c r="E193" s="3">
        <v>12.99</v>
      </c>
      <c r="F193" s="20">
        <v>586</v>
      </c>
      <c r="G193" s="3">
        <v>4.32</v>
      </c>
      <c r="H193" s="6" t="e" vm="5">
        <v>#VALUE!</v>
      </c>
      <c r="I193" t="e" cm="1" vm="6">
        <f t="array" ref="I193">_FV(H193,"Country/region",TRUE)</f>
        <v>#VALUE!</v>
      </c>
      <c r="J193" t="s">
        <v>10</v>
      </c>
      <c r="K193" t="s">
        <v>11</v>
      </c>
      <c r="L193" t="s">
        <v>35</v>
      </c>
      <c r="M193">
        <f>Table1[[#This Row],[Price]]*Table1[[#This Row],[Quantity]]</f>
        <v>7612.14</v>
      </c>
    </row>
    <row r="194" spans="2:13" x14ac:dyDescent="0.3">
      <c r="B194" s="3">
        <v>10651</v>
      </c>
      <c r="C194" s="4">
        <v>44912</v>
      </c>
      <c r="D194" t="s">
        <v>25</v>
      </c>
      <c r="E194" s="3">
        <v>9.9499999999999993</v>
      </c>
      <c r="F194" s="20">
        <v>222</v>
      </c>
      <c r="G194" s="3">
        <v>2.85</v>
      </c>
      <c r="H194" s="6" t="e" vm="5">
        <v>#VALUE!</v>
      </c>
      <c r="I194" t="e" cm="1" vm="6">
        <f t="array" ref="I194">_FV(H194,"Country/region",TRUE)</f>
        <v>#VALUE!</v>
      </c>
      <c r="J194" t="s">
        <v>10</v>
      </c>
      <c r="K194" t="s">
        <v>11</v>
      </c>
      <c r="L194" t="s">
        <v>35</v>
      </c>
      <c r="M194">
        <f>Table1[[#This Row],[Price]]*Table1[[#This Row],[Quantity]]</f>
        <v>2208.8999999999996</v>
      </c>
    </row>
    <row r="195" spans="2:13" x14ac:dyDescent="0.3">
      <c r="B195" s="3">
        <v>10652</v>
      </c>
      <c r="C195" s="4">
        <v>44912</v>
      </c>
      <c r="D195" t="s">
        <v>9</v>
      </c>
      <c r="E195" s="3">
        <v>3.49</v>
      </c>
      <c r="F195" s="20">
        <v>688</v>
      </c>
      <c r="G195" s="3">
        <v>0.88</v>
      </c>
      <c r="H195" s="6" t="e" vm="5">
        <v>#VALUE!</v>
      </c>
      <c r="I195" t="e" cm="1" vm="6">
        <f t="array" ref="I195">_FV(H195,"Country/region",TRUE)</f>
        <v>#VALUE!</v>
      </c>
      <c r="J195" t="s">
        <v>10</v>
      </c>
      <c r="K195" t="s">
        <v>11</v>
      </c>
      <c r="L195" t="s">
        <v>35</v>
      </c>
      <c r="M195">
        <f>Table1[[#This Row],[Price]]*Table1[[#This Row],[Quantity]]</f>
        <v>2401.1200000000003</v>
      </c>
    </row>
    <row r="196" spans="2:13" x14ac:dyDescent="0.3">
      <c r="B196" s="3">
        <v>10653</v>
      </c>
      <c r="C196" s="4">
        <v>44912</v>
      </c>
      <c r="D196" t="s">
        <v>14</v>
      </c>
      <c r="E196" s="3">
        <v>2.95</v>
      </c>
      <c r="F196" s="20">
        <v>746</v>
      </c>
      <c r="G196" s="3">
        <v>0.47</v>
      </c>
      <c r="H196" s="6" t="e" vm="5">
        <v>#VALUE!</v>
      </c>
      <c r="I196" t="e" cm="1" vm="6">
        <f t="array" ref="I196">_FV(H196,"Country/region",TRUE)</f>
        <v>#VALUE!</v>
      </c>
      <c r="J196" t="s">
        <v>10</v>
      </c>
      <c r="K196" t="s">
        <v>11</v>
      </c>
      <c r="L196" t="s">
        <v>35</v>
      </c>
      <c r="M196">
        <f>Table1[[#This Row],[Price]]*Table1[[#This Row],[Quantity]]</f>
        <v>2200.7000000000003</v>
      </c>
    </row>
    <row r="197" spans="2:13" x14ac:dyDescent="0.3">
      <c r="B197" s="3">
        <v>10654</v>
      </c>
      <c r="C197" s="4">
        <v>44912</v>
      </c>
      <c r="D197" t="s">
        <v>17</v>
      </c>
      <c r="E197" s="3">
        <v>4.99</v>
      </c>
      <c r="F197" s="20">
        <v>201</v>
      </c>
      <c r="G197" s="3">
        <v>2.25</v>
      </c>
      <c r="H197" s="6" t="e" vm="5">
        <v>#VALUE!</v>
      </c>
      <c r="I197" t="e" cm="1" vm="6">
        <f t="array" ref="I197">_FV(H197,"Country/region",TRUE)</f>
        <v>#VALUE!</v>
      </c>
      <c r="J197" t="s">
        <v>10</v>
      </c>
      <c r="K197" t="s">
        <v>11</v>
      </c>
      <c r="L197" t="s">
        <v>35</v>
      </c>
      <c r="M197">
        <f>Table1[[#This Row],[Price]]*Table1[[#This Row],[Quantity]]</f>
        <v>1002.99</v>
      </c>
    </row>
    <row r="198" spans="2:13" x14ac:dyDescent="0.3">
      <c r="B198" s="3">
        <v>10655</v>
      </c>
      <c r="C198" s="4">
        <v>44913</v>
      </c>
      <c r="D198" t="s">
        <v>21</v>
      </c>
      <c r="E198" s="3">
        <v>12.99</v>
      </c>
      <c r="F198" s="20">
        <v>601</v>
      </c>
      <c r="G198" s="3">
        <v>4.32</v>
      </c>
      <c r="H198" s="6" t="e" vm="5">
        <v>#VALUE!</v>
      </c>
      <c r="I198" t="e" cm="1" vm="6">
        <f t="array" ref="I198">_FV(H198,"Country/region",TRUE)</f>
        <v>#VALUE!</v>
      </c>
      <c r="J198" t="s">
        <v>10</v>
      </c>
      <c r="K198" t="s">
        <v>11</v>
      </c>
      <c r="L198" t="s">
        <v>35</v>
      </c>
      <c r="M198">
        <f>Table1[[#This Row],[Price]]*Table1[[#This Row],[Quantity]]</f>
        <v>7806.99</v>
      </c>
    </row>
    <row r="199" spans="2:13" x14ac:dyDescent="0.3">
      <c r="B199" s="3">
        <v>10656</v>
      </c>
      <c r="C199" s="4">
        <v>44913</v>
      </c>
      <c r="D199" t="s">
        <v>25</v>
      </c>
      <c r="E199" s="3">
        <v>9.9499999999999993</v>
      </c>
      <c r="F199" s="20">
        <v>222</v>
      </c>
      <c r="G199" s="3">
        <v>2.85</v>
      </c>
      <c r="H199" s="6" t="e" vm="5">
        <v>#VALUE!</v>
      </c>
      <c r="I199" t="e" cm="1" vm="6">
        <f t="array" ref="I199">_FV(H199,"Country/region",TRUE)</f>
        <v>#VALUE!</v>
      </c>
      <c r="J199" t="s">
        <v>10</v>
      </c>
      <c r="K199" t="s">
        <v>11</v>
      </c>
      <c r="L199" t="s">
        <v>35</v>
      </c>
      <c r="M199">
        <f>Table1[[#This Row],[Price]]*Table1[[#This Row],[Quantity]]</f>
        <v>2208.8999999999996</v>
      </c>
    </row>
    <row r="200" spans="2:13" x14ac:dyDescent="0.3">
      <c r="B200" s="3">
        <v>10657</v>
      </c>
      <c r="C200" s="4">
        <v>44913</v>
      </c>
      <c r="D200" t="s">
        <v>9</v>
      </c>
      <c r="E200" s="3">
        <v>3.49</v>
      </c>
      <c r="F200" s="20">
        <v>688</v>
      </c>
      <c r="G200" s="3">
        <v>0.88</v>
      </c>
      <c r="H200" s="6" t="e" vm="5">
        <v>#VALUE!</v>
      </c>
      <c r="I200" t="e" cm="1" vm="6">
        <f t="array" ref="I200">_FV(H200,"Country/region",TRUE)</f>
        <v>#VALUE!</v>
      </c>
      <c r="J200" t="s">
        <v>10</v>
      </c>
      <c r="K200" t="s">
        <v>11</v>
      </c>
      <c r="L200" t="s">
        <v>35</v>
      </c>
      <c r="M200">
        <f>Table1[[#This Row],[Price]]*Table1[[#This Row],[Quantity]]</f>
        <v>2401.1200000000003</v>
      </c>
    </row>
    <row r="201" spans="2:13" x14ac:dyDescent="0.3">
      <c r="B201" s="3">
        <v>10658</v>
      </c>
      <c r="C201" s="4">
        <v>44913</v>
      </c>
      <c r="D201" t="s">
        <v>14</v>
      </c>
      <c r="E201" s="3">
        <v>2.95</v>
      </c>
      <c r="F201" s="20">
        <v>746</v>
      </c>
      <c r="G201" s="3">
        <v>0.47</v>
      </c>
      <c r="H201" s="6" t="e" vm="5">
        <v>#VALUE!</v>
      </c>
      <c r="I201" t="e" cm="1" vm="6">
        <f t="array" ref="I201">_FV(H201,"Country/region",TRUE)</f>
        <v>#VALUE!</v>
      </c>
      <c r="J201" t="s">
        <v>10</v>
      </c>
      <c r="K201" t="s">
        <v>37</v>
      </c>
      <c r="L201" t="s">
        <v>35</v>
      </c>
      <c r="M201">
        <f>Table1[[#This Row],[Price]]*Table1[[#This Row],[Quantity]]</f>
        <v>2200.7000000000003</v>
      </c>
    </row>
    <row r="202" spans="2:13" x14ac:dyDescent="0.3">
      <c r="B202" s="3">
        <v>10659</v>
      </c>
      <c r="C202" s="4">
        <v>44913</v>
      </c>
      <c r="D202" t="s">
        <v>17</v>
      </c>
      <c r="E202" s="3">
        <v>4.99</v>
      </c>
      <c r="F202" s="20">
        <v>201</v>
      </c>
      <c r="G202" s="3">
        <v>2.25</v>
      </c>
      <c r="H202" s="6" t="e" vm="5">
        <v>#VALUE!</v>
      </c>
      <c r="I202" t="e" cm="1" vm="6">
        <f t="array" ref="I202">_FV(H202,"Country/region",TRUE)</f>
        <v>#VALUE!</v>
      </c>
      <c r="J202" t="s">
        <v>10</v>
      </c>
      <c r="K202" t="s">
        <v>37</v>
      </c>
      <c r="L202" t="s">
        <v>35</v>
      </c>
      <c r="M202">
        <f>Table1[[#This Row],[Price]]*Table1[[#This Row],[Quantity]]</f>
        <v>1002.99</v>
      </c>
    </row>
    <row r="203" spans="2:13" x14ac:dyDescent="0.3">
      <c r="B203" s="3">
        <v>10660</v>
      </c>
      <c r="C203" s="4">
        <v>44914</v>
      </c>
      <c r="D203" t="s">
        <v>21</v>
      </c>
      <c r="E203" s="3">
        <v>12.99</v>
      </c>
      <c r="F203" s="20">
        <v>632</v>
      </c>
      <c r="G203" s="3">
        <v>4.32</v>
      </c>
      <c r="H203" s="6" t="e" vm="5">
        <v>#VALUE!</v>
      </c>
      <c r="I203" t="e" cm="1" vm="6">
        <f t="array" ref="I203">_FV(H203,"Country/region",TRUE)</f>
        <v>#VALUE!</v>
      </c>
      <c r="J203" t="s">
        <v>18</v>
      </c>
      <c r="K203" t="s">
        <v>37</v>
      </c>
      <c r="L203" t="s">
        <v>35</v>
      </c>
      <c r="M203">
        <f>Table1[[#This Row],[Price]]*Table1[[#This Row],[Quantity]]</f>
        <v>8209.68</v>
      </c>
    </row>
    <row r="204" spans="2:13" x14ac:dyDescent="0.3">
      <c r="B204" s="3">
        <v>10661</v>
      </c>
      <c r="C204" s="4">
        <v>44914</v>
      </c>
      <c r="D204" t="s">
        <v>25</v>
      </c>
      <c r="E204" s="3">
        <v>9.9499999999999993</v>
      </c>
      <c r="F204" s="20">
        <v>222</v>
      </c>
      <c r="G204" s="3">
        <v>2.85</v>
      </c>
      <c r="H204" s="6" t="e" vm="5">
        <v>#VALUE!</v>
      </c>
      <c r="I204" t="e" cm="1" vm="6">
        <f t="array" ref="I204">_FV(H204,"Country/region",TRUE)</f>
        <v>#VALUE!</v>
      </c>
      <c r="J204" t="s">
        <v>18</v>
      </c>
      <c r="K204" t="s">
        <v>37</v>
      </c>
      <c r="L204" t="s">
        <v>35</v>
      </c>
      <c r="M204">
        <f>Table1[[#This Row],[Price]]*Table1[[#This Row],[Quantity]]</f>
        <v>2208.8999999999996</v>
      </c>
    </row>
    <row r="205" spans="2:13" x14ac:dyDescent="0.3">
      <c r="B205" s="3">
        <v>10662</v>
      </c>
      <c r="C205" s="4">
        <v>44914</v>
      </c>
      <c r="D205" t="s">
        <v>9</v>
      </c>
      <c r="E205" s="3">
        <v>3.49</v>
      </c>
      <c r="F205" s="20">
        <v>631</v>
      </c>
      <c r="G205" s="3">
        <v>0.88</v>
      </c>
      <c r="H205" s="6" t="e" vm="5">
        <v>#VALUE!</v>
      </c>
      <c r="I205" t="e" cm="1" vm="6">
        <f t="array" ref="I205">_FV(H205,"Country/region",TRUE)</f>
        <v>#VALUE!</v>
      </c>
      <c r="J205" t="s">
        <v>18</v>
      </c>
      <c r="K205" t="s">
        <v>37</v>
      </c>
      <c r="L205" t="s">
        <v>35</v>
      </c>
      <c r="M205">
        <f>Table1[[#This Row],[Price]]*Table1[[#This Row],[Quantity]]</f>
        <v>2202.19</v>
      </c>
    </row>
    <row r="206" spans="2:13" x14ac:dyDescent="0.3">
      <c r="B206" s="3">
        <v>10663</v>
      </c>
      <c r="C206" s="4">
        <v>44914</v>
      </c>
      <c r="D206" t="s">
        <v>14</v>
      </c>
      <c r="E206" s="3">
        <v>2.95</v>
      </c>
      <c r="F206" s="20">
        <v>746</v>
      </c>
      <c r="G206" s="3">
        <v>0.47</v>
      </c>
      <c r="H206" s="6" t="e" vm="5">
        <v>#VALUE!</v>
      </c>
      <c r="I206" t="e" cm="1" vm="6">
        <f t="array" ref="I206">_FV(H206,"Country/region",TRUE)</f>
        <v>#VALUE!</v>
      </c>
      <c r="J206" t="s">
        <v>18</v>
      </c>
      <c r="K206" t="s">
        <v>37</v>
      </c>
      <c r="L206" t="s">
        <v>35</v>
      </c>
      <c r="M206">
        <f>Table1[[#This Row],[Price]]*Table1[[#This Row],[Quantity]]</f>
        <v>2200.7000000000003</v>
      </c>
    </row>
    <row r="207" spans="2:13" x14ac:dyDescent="0.3">
      <c r="B207" s="3">
        <v>10664</v>
      </c>
      <c r="C207" s="4">
        <v>44914</v>
      </c>
      <c r="D207" t="s">
        <v>17</v>
      </c>
      <c r="E207" s="3">
        <v>4.99</v>
      </c>
      <c r="F207" s="20">
        <v>201</v>
      </c>
      <c r="G207" s="3">
        <v>2.25</v>
      </c>
      <c r="H207" s="6" t="e" vm="5">
        <v>#VALUE!</v>
      </c>
      <c r="I207" t="e" cm="1" vm="6">
        <f t="array" ref="I207">_FV(H207,"Country/region",TRUE)</f>
        <v>#VALUE!</v>
      </c>
      <c r="J207" t="s">
        <v>18</v>
      </c>
      <c r="K207" t="s">
        <v>37</v>
      </c>
      <c r="L207" t="s">
        <v>35</v>
      </c>
      <c r="M207">
        <f>Table1[[#This Row],[Price]]*Table1[[#This Row],[Quantity]]</f>
        <v>1002.99</v>
      </c>
    </row>
    <row r="208" spans="2:13" x14ac:dyDescent="0.3">
      <c r="B208" s="3">
        <v>10665</v>
      </c>
      <c r="C208" s="4">
        <v>44915</v>
      </c>
      <c r="D208" t="s">
        <v>21</v>
      </c>
      <c r="E208" s="3">
        <v>12.99</v>
      </c>
      <c r="F208" s="20">
        <v>647</v>
      </c>
      <c r="G208" s="3">
        <v>4.32</v>
      </c>
      <c r="H208" s="6" t="e" vm="5">
        <v>#VALUE!</v>
      </c>
      <c r="I208" t="e" cm="1" vm="6">
        <f t="array" ref="I208">_FV(H208,"Country/region",TRUE)</f>
        <v>#VALUE!</v>
      </c>
      <c r="J208" t="s">
        <v>18</v>
      </c>
      <c r="K208" t="s">
        <v>37</v>
      </c>
      <c r="L208" t="s">
        <v>35</v>
      </c>
      <c r="M208">
        <f>Table1[[#This Row],[Price]]*Table1[[#This Row],[Quantity]]</f>
        <v>8404.5300000000007</v>
      </c>
    </row>
    <row r="209" spans="2:13" x14ac:dyDescent="0.3">
      <c r="B209" s="3">
        <v>10666</v>
      </c>
      <c r="C209" s="4">
        <v>44915</v>
      </c>
      <c r="D209" t="s">
        <v>25</v>
      </c>
      <c r="E209" s="3">
        <v>9.9499999999999993</v>
      </c>
      <c r="F209" s="20">
        <v>222</v>
      </c>
      <c r="G209" s="3">
        <v>2.85</v>
      </c>
      <c r="H209" s="6" t="e" vm="5">
        <v>#VALUE!</v>
      </c>
      <c r="I209" t="e" cm="1" vm="6">
        <f t="array" ref="I209">_FV(H209,"Country/region",TRUE)</f>
        <v>#VALUE!</v>
      </c>
      <c r="J209" t="s">
        <v>18</v>
      </c>
      <c r="K209" t="s">
        <v>37</v>
      </c>
      <c r="L209" t="s">
        <v>35</v>
      </c>
      <c r="M209">
        <f>Table1[[#This Row],[Price]]*Table1[[#This Row],[Quantity]]</f>
        <v>2208.8999999999996</v>
      </c>
    </row>
    <row r="210" spans="2:13" x14ac:dyDescent="0.3">
      <c r="B210" s="3">
        <v>10667</v>
      </c>
      <c r="C210" s="4">
        <v>44915</v>
      </c>
      <c r="D210" t="s">
        <v>9</v>
      </c>
      <c r="E210" s="3">
        <v>3.49</v>
      </c>
      <c r="F210" s="20">
        <v>631</v>
      </c>
      <c r="G210" s="3">
        <v>0.88</v>
      </c>
      <c r="H210" s="6" t="e" vm="5">
        <v>#VALUE!</v>
      </c>
      <c r="I210" t="e" cm="1" vm="6">
        <f t="array" ref="I210">_FV(H210,"Country/region",TRUE)</f>
        <v>#VALUE!</v>
      </c>
      <c r="J210" t="s">
        <v>18</v>
      </c>
      <c r="K210" t="s">
        <v>37</v>
      </c>
      <c r="L210" t="s">
        <v>35</v>
      </c>
      <c r="M210">
        <f>Table1[[#This Row],[Price]]*Table1[[#This Row],[Quantity]]</f>
        <v>2202.19</v>
      </c>
    </row>
    <row r="211" spans="2:13" x14ac:dyDescent="0.3">
      <c r="B211" s="3">
        <v>10668</v>
      </c>
      <c r="C211" s="4">
        <v>44915</v>
      </c>
      <c r="D211" t="s">
        <v>14</v>
      </c>
      <c r="E211" s="3">
        <v>2.95</v>
      </c>
      <c r="F211" s="20">
        <v>746</v>
      </c>
      <c r="G211" s="3">
        <v>0.47</v>
      </c>
      <c r="H211" s="6" t="e" vm="5">
        <v>#VALUE!</v>
      </c>
      <c r="I211" t="e" cm="1" vm="6">
        <f t="array" ref="I211">_FV(H211,"Country/region",TRUE)</f>
        <v>#VALUE!</v>
      </c>
      <c r="J211" t="s">
        <v>18</v>
      </c>
      <c r="K211" t="s">
        <v>37</v>
      </c>
      <c r="L211" t="s">
        <v>35</v>
      </c>
      <c r="M211">
        <f>Table1[[#This Row],[Price]]*Table1[[#This Row],[Quantity]]</f>
        <v>2200.7000000000003</v>
      </c>
    </row>
    <row r="212" spans="2:13" x14ac:dyDescent="0.3">
      <c r="B212" s="3">
        <v>10669</v>
      </c>
      <c r="C212" s="4">
        <v>44915</v>
      </c>
      <c r="D212" t="s">
        <v>17</v>
      </c>
      <c r="E212" s="3">
        <v>4.99</v>
      </c>
      <c r="F212" s="20">
        <v>201</v>
      </c>
      <c r="G212" s="3">
        <v>2.25</v>
      </c>
      <c r="H212" s="6" t="e" vm="5">
        <v>#VALUE!</v>
      </c>
      <c r="I212" t="e" cm="1" vm="6">
        <f t="array" ref="I212">_FV(H212,"Country/region",TRUE)</f>
        <v>#VALUE!</v>
      </c>
      <c r="J212" t="s">
        <v>18</v>
      </c>
      <c r="K212" t="s">
        <v>37</v>
      </c>
      <c r="L212" t="s">
        <v>35</v>
      </c>
      <c r="M212">
        <f>Table1[[#This Row],[Price]]*Table1[[#This Row],[Quantity]]</f>
        <v>1002.99</v>
      </c>
    </row>
    <row r="213" spans="2:13" x14ac:dyDescent="0.3">
      <c r="B213" s="3">
        <v>10670</v>
      </c>
      <c r="C213" s="4">
        <v>44916</v>
      </c>
      <c r="D213" t="s">
        <v>21</v>
      </c>
      <c r="E213" s="3">
        <v>12.99</v>
      </c>
      <c r="F213" s="20">
        <v>678</v>
      </c>
      <c r="G213" s="3">
        <v>4.32</v>
      </c>
      <c r="H213" s="6" t="e" vm="5">
        <v>#VALUE!</v>
      </c>
      <c r="I213" t="e" cm="1" vm="6">
        <f t="array" ref="I213">_FV(H213,"Country/region",TRUE)</f>
        <v>#VALUE!</v>
      </c>
      <c r="J213" t="s">
        <v>18</v>
      </c>
      <c r="K213" t="s">
        <v>37</v>
      </c>
      <c r="L213" t="s">
        <v>35</v>
      </c>
      <c r="M213">
        <f>Table1[[#This Row],[Price]]*Table1[[#This Row],[Quantity]]</f>
        <v>8807.2199999999993</v>
      </c>
    </row>
    <row r="214" spans="2:13" x14ac:dyDescent="0.3">
      <c r="B214" s="3">
        <v>10671</v>
      </c>
      <c r="C214" s="4">
        <v>44916</v>
      </c>
      <c r="D214" t="s">
        <v>25</v>
      </c>
      <c r="E214" s="3">
        <v>9.9499999999999993</v>
      </c>
      <c r="F214" s="20">
        <v>222</v>
      </c>
      <c r="G214" s="3">
        <v>2.85</v>
      </c>
      <c r="H214" s="6" t="e" vm="5">
        <v>#VALUE!</v>
      </c>
      <c r="I214" t="e" cm="1" vm="6">
        <f t="array" ref="I214">_FV(H214,"Country/region",TRUE)</f>
        <v>#VALUE!</v>
      </c>
      <c r="J214" t="s">
        <v>18</v>
      </c>
      <c r="K214" t="s">
        <v>37</v>
      </c>
      <c r="L214" t="s">
        <v>35</v>
      </c>
      <c r="M214">
        <f>Table1[[#This Row],[Price]]*Table1[[#This Row],[Quantity]]</f>
        <v>2208.8999999999996</v>
      </c>
    </row>
    <row r="215" spans="2:13" x14ac:dyDescent="0.3">
      <c r="B215" s="3">
        <v>10672</v>
      </c>
      <c r="C215" s="4">
        <v>44916</v>
      </c>
      <c r="D215" t="s">
        <v>9</v>
      </c>
      <c r="E215" s="3">
        <v>3.49</v>
      </c>
      <c r="F215" s="20">
        <v>631</v>
      </c>
      <c r="G215" s="3">
        <v>0.88</v>
      </c>
      <c r="H215" s="6" t="e" vm="5">
        <v>#VALUE!</v>
      </c>
      <c r="I215" t="e" cm="1" vm="6">
        <f t="array" ref="I215">_FV(H215,"Country/region",TRUE)</f>
        <v>#VALUE!</v>
      </c>
      <c r="J215" t="s">
        <v>18</v>
      </c>
      <c r="K215" t="s">
        <v>37</v>
      </c>
      <c r="L215" t="s">
        <v>35</v>
      </c>
      <c r="M215">
        <f>Table1[[#This Row],[Price]]*Table1[[#This Row],[Quantity]]</f>
        <v>2202.19</v>
      </c>
    </row>
    <row r="216" spans="2:13" x14ac:dyDescent="0.3">
      <c r="B216" s="3">
        <v>10673</v>
      </c>
      <c r="C216" s="4">
        <v>44916</v>
      </c>
      <c r="D216" t="s">
        <v>14</v>
      </c>
      <c r="E216" s="3">
        <v>2.95</v>
      </c>
      <c r="F216" s="20">
        <v>746</v>
      </c>
      <c r="G216" s="3">
        <v>0.47</v>
      </c>
      <c r="H216" s="6" t="e" vm="5">
        <v>#VALUE!</v>
      </c>
      <c r="I216" t="e" cm="1" vm="6">
        <f t="array" ref="I216">_FV(H216,"Country/region",TRUE)</f>
        <v>#VALUE!</v>
      </c>
      <c r="J216" t="s">
        <v>18</v>
      </c>
      <c r="K216" t="s">
        <v>37</v>
      </c>
      <c r="L216" t="s">
        <v>35</v>
      </c>
      <c r="M216">
        <f>Table1[[#This Row],[Price]]*Table1[[#This Row],[Quantity]]</f>
        <v>2200.7000000000003</v>
      </c>
    </row>
    <row r="217" spans="2:13" x14ac:dyDescent="0.3">
      <c r="B217" s="3">
        <v>10674</v>
      </c>
      <c r="C217" s="4">
        <v>44916</v>
      </c>
      <c r="D217" t="s">
        <v>17</v>
      </c>
      <c r="E217" s="3">
        <v>4.99</v>
      </c>
      <c r="F217" s="20">
        <v>201</v>
      </c>
      <c r="G217" s="3">
        <v>2.25</v>
      </c>
      <c r="H217" s="6" t="e" vm="5">
        <v>#VALUE!</v>
      </c>
      <c r="I217" t="e" cm="1" vm="6">
        <f t="array" ref="I217">_FV(H217,"Country/region",TRUE)</f>
        <v>#VALUE!</v>
      </c>
      <c r="J217" t="s">
        <v>18</v>
      </c>
      <c r="K217" t="s">
        <v>37</v>
      </c>
      <c r="L217" t="s">
        <v>35</v>
      </c>
      <c r="M217">
        <f>Table1[[#This Row],[Price]]*Table1[[#This Row],[Quantity]]</f>
        <v>1002.99</v>
      </c>
    </row>
    <row r="218" spans="2:13" x14ac:dyDescent="0.3">
      <c r="B218" s="3">
        <v>10675</v>
      </c>
      <c r="C218" s="4">
        <v>44917</v>
      </c>
      <c r="D218" t="s">
        <v>21</v>
      </c>
      <c r="E218" s="3">
        <v>12.99</v>
      </c>
      <c r="F218" s="20">
        <v>678</v>
      </c>
      <c r="G218" s="3">
        <v>4.32</v>
      </c>
      <c r="H218" s="6" t="e" vm="5">
        <v>#VALUE!</v>
      </c>
      <c r="I218" t="e" cm="1" vm="6">
        <f t="array" ref="I218">_FV(H218,"Country/region",TRUE)</f>
        <v>#VALUE!</v>
      </c>
      <c r="J218" t="s">
        <v>18</v>
      </c>
      <c r="K218" t="s">
        <v>37</v>
      </c>
      <c r="L218" t="s">
        <v>35</v>
      </c>
      <c r="M218">
        <f>Table1[[#This Row],[Price]]*Table1[[#This Row],[Quantity]]</f>
        <v>8807.2199999999993</v>
      </c>
    </row>
    <row r="219" spans="2:13" x14ac:dyDescent="0.3">
      <c r="B219" s="3">
        <v>10676</v>
      </c>
      <c r="C219" s="4">
        <v>44917</v>
      </c>
      <c r="D219" t="s">
        <v>25</v>
      </c>
      <c r="E219" s="3">
        <v>9.9499999999999993</v>
      </c>
      <c r="F219" s="20">
        <v>242</v>
      </c>
      <c r="G219" s="3">
        <v>2.85</v>
      </c>
      <c r="H219" s="6" t="e" vm="5">
        <v>#VALUE!</v>
      </c>
      <c r="I219" t="e" cm="1" vm="6">
        <f t="array" ref="I219">_FV(H219,"Country/region",TRUE)</f>
        <v>#VALUE!</v>
      </c>
      <c r="J219" t="s">
        <v>18</v>
      </c>
      <c r="K219" t="s">
        <v>37</v>
      </c>
      <c r="L219" t="s">
        <v>35</v>
      </c>
      <c r="M219">
        <f>Table1[[#This Row],[Price]]*Table1[[#This Row],[Quantity]]</f>
        <v>2407.8999999999996</v>
      </c>
    </row>
    <row r="220" spans="2:13" x14ac:dyDescent="0.3">
      <c r="B220" s="3">
        <v>10677</v>
      </c>
      <c r="C220" s="4">
        <v>44917</v>
      </c>
      <c r="D220" t="s">
        <v>9</v>
      </c>
      <c r="E220" s="3">
        <v>3.49</v>
      </c>
      <c r="F220" s="20">
        <v>631</v>
      </c>
      <c r="G220" s="3">
        <v>0.88</v>
      </c>
      <c r="H220" s="6" t="e" vm="5">
        <v>#VALUE!</v>
      </c>
      <c r="I220" t="e" cm="1" vm="6">
        <f t="array" ref="I220">_FV(H220,"Country/region",TRUE)</f>
        <v>#VALUE!</v>
      </c>
      <c r="J220" t="s">
        <v>18</v>
      </c>
      <c r="K220" t="s">
        <v>37</v>
      </c>
      <c r="L220" t="s">
        <v>35</v>
      </c>
      <c r="M220">
        <f>Table1[[#This Row],[Price]]*Table1[[#This Row],[Quantity]]</f>
        <v>2202.19</v>
      </c>
    </row>
    <row r="221" spans="2:13" x14ac:dyDescent="0.3">
      <c r="B221" s="3">
        <v>10678</v>
      </c>
      <c r="C221" s="4">
        <v>44917</v>
      </c>
      <c r="D221" t="s">
        <v>14</v>
      </c>
      <c r="E221" s="3">
        <v>2.95</v>
      </c>
      <c r="F221" s="20">
        <v>746</v>
      </c>
      <c r="G221" s="3">
        <v>0.47</v>
      </c>
      <c r="H221" s="6" t="e" vm="5">
        <v>#VALUE!</v>
      </c>
      <c r="I221" t="e" cm="1" vm="6">
        <f t="array" ref="I221">_FV(H221,"Country/region",TRUE)</f>
        <v>#VALUE!</v>
      </c>
      <c r="J221" t="s">
        <v>18</v>
      </c>
      <c r="K221" t="s">
        <v>37</v>
      </c>
      <c r="L221" t="s">
        <v>35</v>
      </c>
      <c r="M221">
        <f>Table1[[#This Row],[Price]]*Table1[[#This Row],[Quantity]]</f>
        <v>2200.7000000000003</v>
      </c>
    </row>
    <row r="222" spans="2:13" x14ac:dyDescent="0.3">
      <c r="B222" s="3">
        <v>10679</v>
      </c>
      <c r="C222" s="4">
        <v>44917</v>
      </c>
      <c r="D222" t="s">
        <v>17</v>
      </c>
      <c r="E222" s="3">
        <v>4.99</v>
      </c>
      <c r="F222" s="20">
        <v>201</v>
      </c>
      <c r="G222" s="3">
        <v>2.25</v>
      </c>
      <c r="H222" s="6" t="e" vm="5">
        <v>#VALUE!</v>
      </c>
      <c r="I222" t="e" cm="1" vm="6">
        <f t="array" ref="I222">_FV(H222,"Country/region",TRUE)</f>
        <v>#VALUE!</v>
      </c>
      <c r="J222" t="s">
        <v>18</v>
      </c>
      <c r="K222" t="s">
        <v>37</v>
      </c>
      <c r="L222" t="s">
        <v>35</v>
      </c>
      <c r="M222">
        <f>Table1[[#This Row],[Price]]*Table1[[#This Row],[Quantity]]</f>
        <v>1002.99</v>
      </c>
    </row>
    <row r="223" spans="2:13" x14ac:dyDescent="0.3">
      <c r="B223" s="3">
        <v>10680</v>
      </c>
      <c r="C223" s="4">
        <v>44918</v>
      </c>
      <c r="D223" t="s">
        <v>21</v>
      </c>
      <c r="E223" s="3">
        <v>12.99</v>
      </c>
      <c r="F223" s="20">
        <v>647</v>
      </c>
      <c r="G223" s="3">
        <v>4.32</v>
      </c>
      <c r="H223" s="6" t="e" vm="5">
        <v>#VALUE!</v>
      </c>
      <c r="I223" t="e" cm="1" vm="6">
        <f t="array" ref="I223">_FV(H223,"Country/region",TRUE)</f>
        <v>#VALUE!</v>
      </c>
      <c r="J223" t="s">
        <v>18</v>
      </c>
      <c r="K223" t="s">
        <v>37</v>
      </c>
      <c r="L223" t="s">
        <v>35</v>
      </c>
      <c r="M223">
        <f>Table1[[#This Row],[Price]]*Table1[[#This Row],[Quantity]]</f>
        <v>8404.5300000000007</v>
      </c>
    </row>
    <row r="224" spans="2:13" x14ac:dyDescent="0.3">
      <c r="B224" s="3">
        <v>10681</v>
      </c>
      <c r="C224" s="4">
        <v>44918</v>
      </c>
      <c r="D224" t="s">
        <v>25</v>
      </c>
      <c r="E224" s="3">
        <v>9.9499999999999993</v>
      </c>
      <c r="F224" s="20">
        <v>242</v>
      </c>
      <c r="G224" s="3">
        <v>2.85</v>
      </c>
      <c r="H224" s="6" t="e" vm="5">
        <v>#VALUE!</v>
      </c>
      <c r="I224" t="e" cm="1" vm="6">
        <f t="array" ref="I224">_FV(H224,"Country/region",TRUE)</f>
        <v>#VALUE!</v>
      </c>
      <c r="J224" t="s">
        <v>18</v>
      </c>
      <c r="K224" t="s">
        <v>37</v>
      </c>
      <c r="L224" t="s">
        <v>35</v>
      </c>
      <c r="M224">
        <f>Table1[[#This Row],[Price]]*Table1[[#This Row],[Quantity]]</f>
        <v>2407.8999999999996</v>
      </c>
    </row>
    <row r="225" spans="2:13" x14ac:dyDescent="0.3">
      <c r="B225" s="3">
        <v>10682</v>
      </c>
      <c r="C225" s="4">
        <v>44918</v>
      </c>
      <c r="D225" t="s">
        <v>9</v>
      </c>
      <c r="E225" s="3">
        <v>3.49</v>
      </c>
      <c r="F225" s="20">
        <v>631</v>
      </c>
      <c r="G225" s="3">
        <v>0.88</v>
      </c>
      <c r="H225" s="6" t="e" vm="5">
        <v>#VALUE!</v>
      </c>
      <c r="I225" t="e" cm="1" vm="6">
        <f t="array" ref="I225">_FV(H225,"Country/region",TRUE)</f>
        <v>#VALUE!</v>
      </c>
      <c r="J225" t="s">
        <v>18</v>
      </c>
      <c r="K225" t="s">
        <v>37</v>
      </c>
      <c r="L225" t="s">
        <v>35</v>
      </c>
      <c r="M225">
        <f>Table1[[#This Row],[Price]]*Table1[[#This Row],[Quantity]]</f>
        <v>2202.19</v>
      </c>
    </row>
    <row r="226" spans="2:13" x14ac:dyDescent="0.3">
      <c r="B226" s="3">
        <v>10683</v>
      </c>
      <c r="C226" s="4">
        <v>44918</v>
      </c>
      <c r="D226" t="s">
        <v>14</v>
      </c>
      <c r="E226" s="3">
        <v>2.95</v>
      </c>
      <c r="F226" s="20">
        <v>678</v>
      </c>
      <c r="G226" s="3">
        <v>0.47</v>
      </c>
      <c r="H226" s="6" t="e" vm="5">
        <v>#VALUE!</v>
      </c>
      <c r="I226" t="e" cm="1" vm="6">
        <f t="array" ref="I226">_FV(H226,"Country/region",TRUE)</f>
        <v>#VALUE!</v>
      </c>
      <c r="J226" t="s">
        <v>18</v>
      </c>
      <c r="K226" t="s">
        <v>37</v>
      </c>
      <c r="L226" t="s">
        <v>35</v>
      </c>
      <c r="M226">
        <f>Table1[[#This Row],[Price]]*Table1[[#This Row],[Quantity]]</f>
        <v>2000.1000000000001</v>
      </c>
    </row>
    <row r="227" spans="2:13" x14ac:dyDescent="0.3">
      <c r="B227" s="3">
        <v>10684</v>
      </c>
      <c r="C227" s="4">
        <v>44918</v>
      </c>
      <c r="D227" t="s">
        <v>17</v>
      </c>
      <c r="E227" s="3">
        <v>4.99</v>
      </c>
      <c r="F227" s="20">
        <v>201</v>
      </c>
      <c r="G227" s="3">
        <v>2.25</v>
      </c>
      <c r="H227" s="6" t="e" vm="5">
        <v>#VALUE!</v>
      </c>
      <c r="I227" t="e" cm="1" vm="6">
        <f t="array" ref="I227">_FV(H227,"Country/region",TRUE)</f>
        <v>#VALUE!</v>
      </c>
      <c r="J227" t="s">
        <v>18</v>
      </c>
      <c r="K227" t="s">
        <v>37</v>
      </c>
      <c r="L227" t="s">
        <v>35</v>
      </c>
      <c r="M227">
        <f>Table1[[#This Row],[Price]]*Table1[[#This Row],[Quantity]]</f>
        <v>1002.99</v>
      </c>
    </row>
    <row r="228" spans="2:13" x14ac:dyDescent="0.3">
      <c r="B228" s="3">
        <v>10685</v>
      </c>
      <c r="C228" s="4">
        <v>44919</v>
      </c>
      <c r="D228" t="s">
        <v>21</v>
      </c>
      <c r="E228" s="3">
        <v>12.99</v>
      </c>
      <c r="F228" s="20">
        <v>678</v>
      </c>
      <c r="G228" s="3">
        <v>4.32</v>
      </c>
      <c r="H228" s="6" t="e" vm="5">
        <v>#VALUE!</v>
      </c>
      <c r="I228" t="e" cm="1" vm="6">
        <f t="array" ref="I228">_FV(H228,"Country/region",TRUE)</f>
        <v>#VALUE!</v>
      </c>
      <c r="J228" t="s">
        <v>18</v>
      </c>
      <c r="K228" t="s">
        <v>37</v>
      </c>
      <c r="L228" t="s">
        <v>35</v>
      </c>
      <c r="M228">
        <f>Table1[[#This Row],[Price]]*Table1[[#This Row],[Quantity]]</f>
        <v>8807.2199999999993</v>
      </c>
    </row>
    <row r="229" spans="2:13" x14ac:dyDescent="0.3">
      <c r="B229" s="3">
        <v>10686</v>
      </c>
      <c r="C229" s="4">
        <v>44919</v>
      </c>
      <c r="D229" t="s">
        <v>25</v>
      </c>
      <c r="E229" s="3">
        <v>9.9499999999999993</v>
      </c>
      <c r="F229" s="20">
        <v>242</v>
      </c>
      <c r="G229" s="3">
        <v>2.85</v>
      </c>
      <c r="H229" s="6" t="e" vm="5">
        <v>#VALUE!</v>
      </c>
      <c r="I229" t="e" cm="1" vm="6">
        <f t="array" ref="I229">_FV(H229,"Country/region",TRUE)</f>
        <v>#VALUE!</v>
      </c>
      <c r="J229" t="s">
        <v>18</v>
      </c>
      <c r="K229" t="s">
        <v>37</v>
      </c>
      <c r="L229" t="s">
        <v>35</v>
      </c>
      <c r="M229">
        <f>Table1[[#This Row],[Price]]*Table1[[#This Row],[Quantity]]</f>
        <v>2407.8999999999996</v>
      </c>
    </row>
    <row r="230" spans="2:13" x14ac:dyDescent="0.3">
      <c r="B230" s="3">
        <v>10687</v>
      </c>
      <c r="C230" s="4">
        <v>44919</v>
      </c>
      <c r="D230" t="s">
        <v>9</v>
      </c>
      <c r="E230" s="3">
        <v>3.49</v>
      </c>
      <c r="F230" s="20">
        <v>631</v>
      </c>
      <c r="G230" s="3">
        <v>0.88</v>
      </c>
      <c r="H230" t="e" vm="7">
        <v>#VALUE!</v>
      </c>
      <c r="I230" t="e" cm="1" vm="8">
        <f t="array" ref="I230">_FV(H230,"Country/region",TRUE)</f>
        <v>#VALUE!</v>
      </c>
      <c r="J230" t="s">
        <v>18</v>
      </c>
      <c r="K230" t="s">
        <v>37</v>
      </c>
      <c r="L230" t="s">
        <v>23</v>
      </c>
      <c r="M230">
        <f>Table1[[#This Row],[Price]]*Table1[[#This Row],[Quantity]]</f>
        <v>2202.19</v>
      </c>
    </row>
    <row r="231" spans="2:13" x14ac:dyDescent="0.3">
      <c r="B231" s="3">
        <v>10688</v>
      </c>
      <c r="C231" s="4">
        <v>44919</v>
      </c>
      <c r="D231" t="s">
        <v>14</v>
      </c>
      <c r="E231" s="3">
        <v>2.95</v>
      </c>
      <c r="F231" s="20">
        <v>678</v>
      </c>
      <c r="G231" s="3">
        <v>0.47</v>
      </c>
      <c r="H231" t="e" vm="7">
        <v>#VALUE!</v>
      </c>
      <c r="I231" t="e" cm="1" vm="8">
        <f t="array" ref="I231">_FV(H231,"Country/region",TRUE)</f>
        <v>#VALUE!</v>
      </c>
      <c r="J231" t="s">
        <v>18</v>
      </c>
      <c r="K231" t="s">
        <v>37</v>
      </c>
      <c r="L231" t="s">
        <v>23</v>
      </c>
      <c r="M231">
        <f>Table1[[#This Row],[Price]]*Table1[[#This Row],[Quantity]]</f>
        <v>2000.1000000000001</v>
      </c>
    </row>
    <row r="232" spans="2:13" x14ac:dyDescent="0.3">
      <c r="B232" s="3">
        <v>10689</v>
      </c>
      <c r="C232" s="4">
        <v>44919</v>
      </c>
      <c r="D232" t="s">
        <v>17</v>
      </c>
      <c r="E232" s="3">
        <v>4.99</v>
      </c>
      <c r="F232" s="20">
        <v>201</v>
      </c>
      <c r="G232" s="3">
        <v>2.25</v>
      </c>
      <c r="H232" t="e" vm="7">
        <v>#VALUE!</v>
      </c>
      <c r="I232" t="e" cm="1" vm="8">
        <f t="array" ref="I232">_FV(H232,"Country/region",TRUE)</f>
        <v>#VALUE!</v>
      </c>
      <c r="J232" t="s">
        <v>18</v>
      </c>
      <c r="K232" t="s">
        <v>37</v>
      </c>
      <c r="L232" t="s">
        <v>23</v>
      </c>
      <c r="M232">
        <f>Table1[[#This Row],[Price]]*Table1[[#This Row],[Quantity]]</f>
        <v>1002.99</v>
      </c>
    </row>
    <row r="233" spans="2:13" x14ac:dyDescent="0.3">
      <c r="B233" s="3">
        <v>10690</v>
      </c>
      <c r="C233" s="4">
        <v>44920</v>
      </c>
      <c r="D233" t="s">
        <v>21</v>
      </c>
      <c r="E233" s="3">
        <v>12.99</v>
      </c>
      <c r="F233" s="20">
        <v>678</v>
      </c>
      <c r="G233" s="3">
        <v>4.32</v>
      </c>
      <c r="H233" t="e" vm="7">
        <v>#VALUE!</v>
      </c>
      <c r="I233" t="e" cm="1" vm="8">
        <f t="array" ref="I233">_FV(H233,"Country/region",TRUE)</f>
        <v>#VALUE!</v>
      </c>
      <c r="J233" t="s">
        <v>18</v>
      </c>
      <c r="K233" t="s">
        <v>37</v>
      </c>
      <c r="L233" t="s">
        <v>23</v>
      </c>
      <c r="M233">
        <f>Table1[[#This Row],[Price]]*Table1[[#This Row],[Quantity]]</f>
        <v>8807.2199999999993</v>
      </c>
    </row>
    <row r="234" spans="2:13" x14ac:dyDescent="0.3">
      <c r="B234" s="3">
        <v>10691</v>
      </c>
      <c r="C234" s="4">
        <v>44920</v>
      </c>
      <c r="D234" t="s">
        <v>25</v>
      </c>
      <c r="E234" s="3">
        <v>9.9499999999999993</v>
      </c>
      <c r="F234" s="20">
        <v>262</v>
      </c>
      <c r="G234" s="3">
        <v>2.85</v>
      </c>
      <c r="H234" t="e" vm="7">
        <v>#VALUE!</v>
      </c>
      <c r="I234" t="e" cm="1" vm="8">
        <f t="array" ref="I234">_FV(H234,"Country/region",TRUE)</f>
        <v>#VALUE!</v>
      </c>
      <c r="J234" t="s">
        <v>18</v>
      </c>
      <c r="K234" t="s">
        <v>37</v>
      </c>
      <c r="L234" t="s">
        <v>23</v>
      </c>
      <c r="M234">
        <f>Table1[[#This Row],[Price]]*Table1[[#This Row],[Quantity]]</f>
        <v>2606.8999999999996</v>
      </c>
    </row>
    <row r="235" spans="2:13" x14ac:dyDescent="0.3">
      <c r="B235" s="3">
        <v>10692</v>
      </c>
      <c r="C235" s="4">
        <v>44920</v>
      </c>
      <c r="D235" t="s">
        <v>9</v>
      </c>
      <c r="E235" s="3">
        <v>3.49</v>
      </c>
      <c r="F235" s="20">
        <v>631</v>
      </c>
      <c r="G235" s="3">
        <v>0.88</v>
      </c>
      <c r="H235" t="e" vm="7">
        <v>#VALUE!</v>
      </c>
      <c r="I235" t="e" cm="1" vm="8">
        <f t="array" ref="I235">_FV(H235,"Country/region",TRUE)</f>
        <v>#VALUE!</v>
      </c>
      <c r="J235" t="s">
        <v>18</v>
      </c>
      <c r="K235" t="s">
        <v>37</v>
      </c>
      <c r="L235" t="s">
        <v>23</v>
      </c>
      <c r="M235">
        <f>Table1[[#This Row],[Price]]*Table1[[#This Row],[Quantity]]</f>
        <v>2202.19</v>
      </c>
    </row>
    <row r="236" spans="2:13" x14ac:dyDescent="0.3">
      <c r="B236" s="3">
        <v>10693</v>
      </c>
      <c r="C236" s="4">
        <v>44920</v>
      </c>
      <c r="D236" t="s">
        <v>14</v>
      </c>
      <c r="E236" s="3">
        <v>2.95</v>
      </c>
      <c r="F236" s="20">
        <v>678</v>
      </c>
      <c r="G236" s="3">
        <v>0.47</v>
      </c>
      <c r="H236" t="e" vm="7">
        <v>#VALUE!</v>
      </c>
      <c r="I236" t="e" cm="1" vm="8">
        <f t="array" ref="I236">_FV(H236,"Country/region",TRUE)</f>
        <v>#VALUE!</v>
      </c>
      <c r="J236" t="s">
        <v>18</v>
      </c>
      <c r="K236" t="s">
        <v>37</v>
      </c>
      <c r="L236" t="s">
        <v>23</v>
      </c>
      <c r="M236">
        <f>Table1[[#This Row],[Price]]*Table1[[#This Row],[Quantity]]</f>
        <v>2000.1000000000001</v>
      </c>
    </row>
    <row r="237" spans="2:13" x14ac:dyDescent="0.3">
      <c r="B237" s="3">
        <v>10694</v>
      </c>
      <c r="C237" s="4">
        <v>44920</v>
      </c>
      <c r="D237" t="s">
        <v>17</v>
      </c>
      <c r="E237" s="3">
        <v>4.99</v>
      </c>
      <c r="F237" s="20">
        <v>201</v>
      </c>
      <c r="G237" s="3">
        <v>2.25</v>
      </c>
      <c r="H237" t="e" vm="7">
        <v>#VALUE!</v>
      </c>
      <c r="I237" t="e" cm="1" vm="8">
        <f t="array" ref="I237">_FV(H237,"Country/region",TRUE)</f>
        <v>#VALUE!</v>
      </c>
      <c r="J237" t="s">
        <v>18</v>
      </c>
      <c r="K237" t="s">
        <v>37</v>
      </c>
      <c r="L237" t="s">
        <v>23</v>
      </c>
      <c r="M237">
        <f>Table1[[#This Row],[Price]]*Table1[[#This Row],[Quantity]]</f>
        <v>1002.99</v>
      </c>
    </row>
    <row r="238" spans="2:13" x14ac:dyDescent="0.3">
      <c r="B238" s="3">
        <v>10695</v>
      </c>
      <c r="C238" s="4">
        <v>44921</v>
      </c>
      <c r="D238" t="s">
        <v>21</v>
      </c>
      <c r="E238" s="3">
        <v>12.99</v>
      </c>
      <c r="F238" s="20">
        <v>693</v>
      </c>
      <c r="G238" s="3">
        <v>4.32</v>
      </c>
      <c r="H238" t="e" vm="7">
        <v>#VALUE!</v>
      </c>
      <c r="I238" t="e" cm="1" vm="8">
        <f t="array" ref="I238">_FV(H238,"Country/region",TRUE)</f>
        <v>#VALUE!</v>
      </c>
      <c r="J238" t="s">
        <v>18</v>
      </c>
      <c r="K238" t="s">
        <v>37</v>
      </c>
      <c r="L238" t="s">
        <v>23</v>
      </c>
      <c r="M238">
        <f>Table1[[#This Row],[Price]]*Table1[[#This Row],[Quantity]]</f>
        <v>9002.07</v>
      </c>
    </row>
    <row r="239" spans="2:13" x14ac:dyDescent="0.3">
      <c r="B239" s="3">
        <v>10696</v>
      </c>
      <c r="C239" s="4">
        <v>44921</v>
      </c>
      <c r="D239" t="s">
        <v>25</v>
      </c>
      <c r="E239" s="3">
        <v>9.9499999999999993</v>
      </c>
      <c r="F239" s="20">
        <v>282</v>
      </c>
      <c r="G239" s="3">
        <v>2.85</v>
      </c>
      <c r="H239" t="e" vm="7">
        <v>#VALUE!</v>
      </c>
      <c r="I239" t="e" cm="1" vm="8">
        <f t="array" ref="I239">_FV(H239,"Country/region",TRUE)</f>
        <v>#VALUE!</v>
      </c>
      <c r="J239" t="s">
        <v>18</v>
      </c>
      <c r="K239" t="s">
        <v>37</v>
      </c>
      <c r="L239" t="s">
        <v>23</v>
      </c>
      <c r="M239">
        <f>Table1[[#This Row],[Price]]*Table1[[#This Row],[Quantity]]</f>
        <v>2805.8999999999996</v>
      </c>
    </row>
    <row r="240" spans="2:13" x14ac:dyDescent="0.3">
      <c r="B240" s="3">
        <v>10697</v>
      </c>
      <c r="C240" s="4">
        <v>44921</v>
      </c>
      <c r="D240" t="s">
        <v>9</v>
      </c>
      <c r="E240" s="3">
        <v>3.49</v>
      </c>
      <c r="F240" s="20">
        <v>631</v>
      </c>
      <c r="G240" s="3">
        <v>0.88</v>
      </c>
      <c r="H240" t="e" vm="7">
        <v>#VALUE!</v>
      </c>
      <c r="I240" t="e" cm="1" vm="8">
        <f t="array" ref="I240">_FV(H240,"Country/region",TRUE)</f>
        <v>#VALUE!</v>
      </c>
      <c r="J240" t="s">
        <v>18</v>
      </c>
      <c r="K240" t="s">
        <v>37</v>
      </c>
      <c r="L240" t="s">
        <v>23</v>
      </c>
      <c r="M240">
        <f>Table1[[#This Row],[Price]]*Table1[[#This Row],[Quantity]]</f>
        <v>2202.19</v>
      </c>
    </row>
    <row r="241" spans="2:13" x14ac:dyDescent="0.3">
      <c r="B241" s="3">
        <v>10698</v>
      </c>
      <c r="C241" s="4">
        <v>44921</v>
      </c>
      <c r="D241" t="s">
        <v>14</v>
      </c>
      <c r="E241" s="3">
        <v>2.95</v>
      </c>
      <c r="F241" s="20">
        <v>678</v>
      </c>
      <c r="G241" s="3">
        <v>0.47</v>
      </c>
      <c r="H241" t="e" vm="7">
        <v>#VALUE!</v>
      </c>
      <c r="I241" t="e" cm="1" vm="8">
        <f t="array" ref="I241">_FV(H241,"Country/region",TRUE)</f>
        <v>#VALUE!</v>
      </c>
      <c r="J241" t="s">
        <v>18</v>
      </c>
      <c r="K241" t="s">
        <v>37</v>
      </c>
      <c r="L241" t="s">
        <v>23</v>
      </c>
      <c r="M241">
        <f>Table1[[#This Row],[Price]]*Table1[[#This Row],[Quantity]]</f>
        <v>2000.1000000000001</v>
      </c>
    </row>
    <row r="242" spans="2:13" x14ac:dyDescent="0.3">
      <c r="B242" s="3">
        <v>10699</v>
      </c>
      <c r="C242" s="4">
        <v>44921</v>
      </c>
      <c r="D242" t="s">
        <v>17</v>
      </c>
      <c r="E242" s="3">
        <v>4.99</v>
      </c>
      <c r="F242" s="20">
        <v>201</v>
      </c>
      <c r="G242" s="3">
        <v>2.25</v>
      </c>
      <c r="H242" t="e" vm="7">
        <v>#VALUE!</v>
      </c>
      <c r="I242" t="e" cm="1" vm="8">
        <f t="array" ref="I242">_FV(H242,"Country/region",TRUE)</f>
        <v>#VALUE!</v>
      </c>
      <c r="J242" t="s">
        <v>18</v>
      </c>
      <c r="K242" t="s">
        <v>37</v>
      </c>
      <c r="L242" t="s">
        <v>23</v>
      </c>
      <c r="M242">
        <f>Table1[[#This Row],[Price]]*Table1[[#This Row],[Quantity]]</f>
        <v>1002.99</v>
      </c>
    </row>
    <row r="243" spans="2:13" x14ac:dyDescent="0.3">
      <c r="B243" s="3">
        <v>10700</v>
      </c>
      <c r="C243" s="4">
        <v>44922</v>
      </c>
      <c r="D243" t="s">
        <v>21</v>
      </c>
      <c r="E243" s="3">
        <v>12.99</v>
      </c>
      <c r="F243" s="20">
        <v>693</v>
      </c>
      <c r="G243" s="3">
        <v>4.32</v>
      </c>
      <c r="H243" t="e" vm="7">
        <v>#VALUE!</v>
      </c>
      <c r="I243" t="e" cm="1" vm="8">
        <f t="array" ref="I243">_FV(H243,"Country/region",TRUE)</f>
        <v>#VALUE!</v>
      </c>
      <c r="J243" t="s">
        <v>18</v>
      </c>
      <c r="K243" t="s">
        <v>37</v>
      </c>
      <c r="L243" t="s">
        <v>23</v>
      </c>
      <c r="M243">
        <f>Table1[[#This Row],[Price]]*Table1[[#This Row],[Quantity]]</f>
        <v>9002.07</v>
      </c>
    </row>
    <row r="244" spans="2:13" x14ac:dyDescent="0.3">
      <c r="B244" s="3">
        <v>10701</v>
      </c>
      <c r="C244" s="4">
        <v>44922</v>
      </c>
      <c r="D244" t="s">
        <v>25</v>
      </c>
      <c r="E244" s="3">
        <v>9.9499999999999993</v>
      </c>
      <c r="F244" s="20">
        <v>282</v>
      </c>
      <c r="G244" s="3">
        <v>2.85</v>
      </c>
      <c r="H244" t="e" vm="7">
        <v>#VALUE!</v>
      </c>
      <c r="I244" t="e" cm="1" vm="8">
        <f t="array" ref="I244">_FV(H244,"Country/region",TRUE)</f>
        <v>#VALUE!</v>
      </c>
      <c r="J244" t="s">
        <v>18</v>
      </c>
      <c r="K244" t="s">
        <v>37</v>
      </c>
      <c r="L244" t="s">
        <v>23</v>
      </c>
      <c r="M244">
        <f>Table1[[#This Row],[Price]]*Table1[[#This Row],[Quantity]]</f>
        <v>2805.8999999999996</v>
      </c>
    </row>
    <row r="245" spans="2:13" x14ac:dyDescent="0.3">
      <c r="B245" s="3">
        <v>10702</v>
      </c>
      <c r="C245" s="4">
        <v>44922</v>
      </c>
      <c r="D245" t="s">
        <v>9</v>
      </c>
      <c r="E245" s="3">
        <v>3.49</v>
      </c>
      <c r="F245" s="20">
        <v>631</v>
      </c>
      <c r="G245" s="3">
        <v>0.88</v>
      </c>
      <c r="H245" t="e" vm="7">
        <v>#VALUE!</v>
      </c>
      <c r="I245" t="e" cm="1" vm="8">
        <f t="array" ref="I245">_FV(H245,"Country/region",TRUE)</f>
        <v>#VALUE!</v>
      </c>
      <c r="J245" t="s">
        <v>18</v>
      </c>
      <c r="K245" t="s">
        <v>37</v>
      </c>
      <c r="L245" t="s">
        <v>23</v>
      </c>
      <c r="M245">
        <f>Table1[[#This Row],[Price]]*Table1[[#This Row],[Quantity]]</f>
        <v>2202.19</v>
      </c>
    </row>
    <row r="246" spans="2:13" x14ac:dyDescent="0.3">
      <c r="B246" s="3">
        <v>10703</v>
      </c>
      <c r="C246" s="4">
        <v>44922</v>
      </c>
      <c r="D246" t="s">
        <v>14</v>
      </c>
      <c r="E246" s="3">
        <v>2.95</v>
      </c>
      <c r="F246" s="20">
        <v>678</v>
      </c>
      <c r="G246" s="3">
        <v>0.47</v>
      </c>
      <c r="H246" t="e" vm="7">
        <v>#VALUE!</v>
      </c>
      <c r="I246" t="e" cm="1" vm="8">
        <f t="array" ref="I246">_FV(H246,"Country/region",TRUE)</f>
        <v>#VALUE!</v>
      </c>
      <c r="J246" t="s">
        <v>18</v>
      </c>
      <c r="K246" t="s">
        <v>11</v>
      </c>
      <c r="L246" t="s">
        <v>23</v>
      </c>
      <c r="M246">
        <f>Table1[[#This Row],[Price]]*Table1[[#This Row],[Quantity]]</f>
        <v>2000.1000000000001</v>
      </c>
    </row>
    <row r="247" spans="2:13" x14ac:dyDescent="0.3">
      <c r="B247" s="3">
        <v>10704</v>
      </c>
      <c r="C247" s="4">
        <v>44922</v>
      </c>
      <c r="D247" t="s">
        <v>17</v>
      </c>
      <c r="E247" s="3">
        <v>4.99</v>
      </c>
      <c r="F247" s="20">
        <v>201</v>
      </c>
      <c r="G247" s="3">
        <v>2.25</v>
      </c>
      <c r="H247" t="e" vm="7">
        <v>#VALUE!</v>
      </c>
      <c r="I247" t="e" cm="1" vm="8">
        <f t="array" ref="I247">_FV(H247,"Country/region",TRUE)</f>
        <v>#VALUE!</v>
      </c>
      <c r="J247" t="s">
        <v>36</v>
      </c>
      <c r="K247" t="s">
        <v>11</v>
      </c>
      <c r="L247" t="s">
        <v>23</v>
      </c>
      <c r="M247">
        <f>Table1[[#This Row],[Price]]*Table1[[#This Row],[Quantity]]</f>
        <v>1002.99</v>
      </c>
    </row>
    <row r="248" spans="2:13" x14ac:dyDescent="0.3">
      <c r="B248" s="3">
        <v>10705</v>
      </c>
      <c r="C248" s="4">
        <v>44923</v>
      </c>
      <c r="D248" t="s">
        <v>21</v>
      </c>
      <c r="E248" s="3">
        <v>12.99</v>
      </c>
      <c r="F248" s="20">
        <v>724</v>
      </c>
      <c r="G248" s="3">
        <v>4.32</v>
      </c>
      <c r="H248" t="e" vm="7">
        <v>#VALUE!</v>
      </c>
      <c r="I248" t="e" cm="1" vm="8">
        <f t="array" ref="I248">_FV(H248,"Country/region",TRUE)</f>
        <v>#VALUE!</v>
      </c>
      <c r="J248" t="s">
        <v>36</v>
      </c>
      <c r="K248" t="s">
        <v>11</v>
      </c>
      <c r="L248" t="s">
        <v>23</v>
      </c>
      <c r="M248">
        <f>Table1[[#This Row],[Price]]*Table1[[#This Row],[Quantity]]</f>
        <v>9404.76</v>
      </c>
    </row>
    <row r="249" spans="2:13" x14ac:dyDescent="0.3">
      <c r="B249" s="3">
        <v>10706</v>
      </c>
      <c r="C249" s="4">
        <v>44923</v>
      </c>
      <c r="D249" t="s">
        <v>25</v>
      </c>
      <c r="E249" s="3">
        <v>9.9499999999999993</v>
      </c>
      <c r="F249" s="20">
        <v>302</v>
      </c>
      <c r="G249" s="3">
        <v>2.85</v>
      </c>
      <c r="H249" t="e" vm="7">
        <v>#VALUE!</v>
      </c>
      <c r="I249" t="e" cm="1" vm="8">
        <f t="array" ref="I249">_FV(H249,"Country/region",TRUE)</f>
        <v>#VALUE!</v>
      </c>
      <c r="J249" t="s">
        <v>36</v>
      </c>
      <c r="K249" t="s">
        <v>11</v>
      </c>
      <c r="L249" t="s">
        <v>23</v>
      </c>
      <c r="M249">
        <f>Table1[[#This Row],[Price]]*Table1[[#This Row],[Quantity]]</f>
        <v>3004.8999999999996</v>
      </c>
    </row>
    <row r="250" spans="2:13" x14ac:dyDescent="0.3">
      <c r="B250" s="3">
        <v>10707</v>
      </c>
      <c r="C250" s="4">
        <v>44923</v>
      </c>
      <c r="D250" t="s">
        <v>9</v>
      </c>
      <c r="E250" s="3">
        <v>3.49</v>
      </c>
      <c r="F250" s="20">
        <v>631</v>
      </c>
      <c r="G250" s="3">
        <v>0.88</v>
      </c>
      <c r="H250" t="e" vm="7">
        <v>#VALUE!</v>
      </c>
      <c r="I250" t="e" cm="1" vm="8">
        <f t="array" ref="I250">_FV(H250,"Country/region",TRUE)</f>
        <v>#VALUE!</v>
      </c>
      <c r="J250" t="s">
        <v>36</v>
      </c>
      <c r="K250" t="s">
        <v>11</v>
      </c>
      <c r="L250" t="s">
        <v>23</v>
      </c>
      <c r="M250">
        <f>Table1[[#This Row],[Price]]*Table1[[#This Row],[Quantity]]</f>
        <v>2202.19</v>
      </c>
    </row>
    <row r="251" spans="2:13" x14ac:dyDescent="0.3">
      <c r="B251" s="3">
        <v>10708</v>
      </c>
      <c r="C251" s="4">
        <v>44923</v>
      </c>
      <c r="D251" t="s">
        <v>14</v>
      </c>
      <c r="E251" s="3">
        <v>2.95</v>
      </c>
      <c r="F251" s="20">
        <v>678</v>
      </c>
      <c r="G251" s="3">
        <v>0.47</v>
      </c>
      <c r="H251" t="e" vm="7">
        <v>#VALUE!</v>
      </c>
      <c r="I251" t="e" cm="1" vm="8">
        <f t="array" ref="I251">_FV(H251,"Country/region",TRUE)</f>
        <v>#VALUE!</v>
      </c>
      <c r="J251" t="s">
        <v>36</v>
      </c>
      <c r="K251" t="s">
        <v>11</v>
      </c>
      <c r="L251" t="s">
        <v>23</v>
      </c>
      <c r="M251">
        <f>Table1[[#This Row],[Price]]*Table1[[#This Row],[Quantity]]</f>
        <v>2000.1000000000001</v>
      </c>
    </row>
    <row r="252" spans="2:13" x14ac:dyDescent="0.3">
      <c r="B252" s="3">
        <v>10709</v>
      </c>
      <c r="C252" s="4">
        <v>44923</v>
      </c>
      <c r="D252" t="s">
        <v>17</v>
      </c>
      <c r="E252" s="3">
        <v>4.99</v>
      </c>
      <c r="F252" s="20">
        <v>201</v>
      </c>
      <c r="G252" s="3">
        <v>2.25</v>
      </c>
      <c r="H252" t="e" vm="7">
        <v>#VALUE!</v>
      </c>
      <c r="I252" t="e" cm="1" vm="8">
        <f t="array" ref="I252">_FV(H252,"Country/region",TRUE)</f>
        <v>#VALUE!</v>
      </c>
      <c r="J252" t="s">
        <v>36</v>
      </c>
      <c r="K252" t="s">
        <v>11</v>
      </c>
      <c r="L252" t="s">
        <v>23</v>
      </c>
      <c r="M252">
        <f>Table1[[#This Row],[Price]]*Table1[[#This Row],[Quantity]]</f>
        <v>1002.99</v>
      </c>
    </row>
    <row r="253" spans="2:13" x14ac:dyDescent="0.3">
      <c r="B253" s="3">
        <v>10710</v>
      </c>
      <c r="C253" s="4">
        <v>44924</v>
      </c>
      <c r="D253" t="s">
        <v>21</v>
      </c>
      <c r="E253" s="3">
        <v>12.99</v>
      </c>
      <c r="F253" s="20">
        <v>755</v>
      </c>
      <c r="G253" s="3">
        <v>4.32</v>
      </c>
      <c r="H253" t="e" vm="7">
        <v>#VALUE!</v>
      </c>
      <c r="I253" t="e" cm="1" vm="8">
        <f t="array" ref="I253">_FV(H253,"Country/region",TRUE)</f>
        <v>#VALUE!</v>
      </c>
      <c r="J253" t="s">
        <v>36</v>
      </c>
      <c r="K253" t="s">
        <v>11</v>
      </c>
      <c r="L253" t="s">
        <v>23</v>
      </c>
      <c r="M253">
        <f>Table1[[#This Row],[Price]]*Table1[[#This Row],[Quantity]]</f>
        <v>9807.4500000000007</v>
      </c>
    </row>
    <row r="254" spans="2:13" x14ac:dyDescent="0.3">
      <c r="B254" s="3">
        <v>10711</v>
      </c>
      <c r="C254" s="4">
        <v>44924</v>
      </c>
      <c r="D254" t="s">
        <v>25</v>
      </c>
      <c r="E254" s="3">
        <v>9.9499999999999993</v>
      </c>
      <c r="F254" s="20">
        <v>282</v>
      </c>
      <c r="G254" s="3">
        <v>2.85</v>
      </c>
      <c r="H254" t="e" vm="7">
        <v>#VALUE!</v>
      </c>
      <c r="I254" t="e" cm="1" vm="8">
        <f t="array" ref="I254">_FV(H254,"Country/region",TRUE)</f>
        <v>#VALUE!</v>
      </c>
      <c r="J254" t="s">
        <v>36</v>
      </c>
      <c r="K254" t="s">
        <v>11</v>
      </c>
      <c r="L254" t="s">
        <v>23</v>
      </c>
      <c r="M254">
        <f>Table1[[#This Row],[Price]]*Table1[[#This Row],[Quantity]]</f>
        <v>2805.8999999999996</v>
      </c>
    </row>
    <row r="255" spans="2:13" x14ac:dyDescent="0.3">
      <c r="B255" s="3">
        <v>10712</v>
      </c>
      <c r="C255" s="4">
        <v>44924</v>
      </c>
      <c r="D255" t="s">
        <v>9</v>
      </c>
      <c r="E255" s="3">
        <v>3.49</v>
      </c>
      <c r="F255" s="20">
        <v>631</v>
      </c>
      <c r="G255" s="3">
        <v>0.88</v>
      </c>
      <c r="H255" t="e" vm="7">
        <v>#VALUE!</v>
      </c>
      <c r="I255" t="e" cm="1" vm="8">
        <f t="array" ref="I255">_FV(H255,"Country/region",TRUE)</f>
        <v>#VALUE!</v>
      </c>
      <c r="J255" t="s">
        <v>36</v>
      </c>
      <c r="K255" t="s">
        <v>11</v>
      </c>
      <c r="L255" t="s">
        <v>23</v>
      </c>
      <c r="M255">
        <f>Table1[[#This Row],[Price]]*Table1[[#This Row],[Quantity]]</f>
        <v>2202.19</v>
      </c>
    </row>
    <row r="256" spans="2:13" x14ac:dyDescent="0.3">
      <c r="B256" s="3">
        <v>10713</v>
      </c>
      <c r="C256" s="4">
        <v>44924</v>
      </c>
      <c r="D256" t="s">
        <v>14</v>
      </c>
      <c r="E256" s="3">
        <v>2.95</v>
      </c>
      <c r="F256" s="20">
        <v>678</v>
      </c>
      <c r="G256" s="3">
        <v>0.47</v>
      </c>
      <c r="H256" t="e" vm="7">
        <v>#VALUE!</v>
      </c>
      <c r="I256" t="e" cm="1" vm="8">
        <f t="array" ref="I256">_FV(H256,"Country/region",TRUE)</f>
        <v>#VALUE!</v>
      </c>
      <c r="J256" t="s">
        <v>36</v>
      </c>
      <c r="K256" t="s">
        <v>11</v>
      </c>
      <c r="L256" t="s">
        <v>23</v>
      </c>
      <c r="M256">
        <f>Table1[[#This Row],[Price]]*Table1[[#This Row],[Quantity]]</f>
        <v>2000.1000000000001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F8"/>
  <sheetViews>
    <sheetView showGridLines="0" workbookViewId="0"/>
  </sheetViews>
  <sheetFormatPr defaultColWidth="10.59765625" defaultRowHeight="15.6" x14ac:dyDescent="0.3"/>
  <cols>
    <col min="1" max="1" width="4.09765625" customWidth="1"/>
  </cols>
  <sheetData>
    <row r="2" spans="2:6" x14ac:dyDescent="0.3">
      <c r="B2" s="7" t="s">
        <v>39</v>
      </c>
      <c r="C2" s="7"/>
      <c r="D2" s="7"/>
      <c r="E2" s="7"/>
      <c r="F2" s="7"/>
    </row>
    <row r="4" spans="2:6" x14ac:dyDescent="0.3">
      <c r="B4" s="8" t="s">
        <v>40</v>
      </c>
      <c r="C4" s="9"/>
      <c r="D4" s="9"/>
      <c r="E4" s="9"/>
      <c r="F4" s="9"/>
    </row>
    <row r="5" spans="2:6" x14ac:dyDescent="0.3">
      <c r="B5" s="10"/>
      <c r="C5" s="11"/>
      <c r="D5" s="11"/>
      <c r="E5" s="11"/>
      <c r="F5" s="11"/>
    </row>
    <row r="6" spans="2:6" x14ac:dyDescent="0.3">
      <c r="B6" s="8" t="s">
        <v>41</v>
      </c>
      <c r="C6" s="9"/>
      <c r="D6" s="9"/>
      <c r="E6" s="9"/>
      <c r="F6" s="9"/>
    </row>
    <row r="7" spans="2:6" x14ac:dyDescent="0.3">
      <c r="B7" s="10"/>
      <c r="C7" s="11"/>
      <c r="D7" s="11"/>
      <c r="E7" s="11"/>
      <c r="F7" s="11"/>
    </row>
    <row r="8" spans="2:6" x14ac:dyDescent="0.3">
      <c r="B8" s="8" t="s">
        <v>42</v>
      </c>
      <c r="C8" s="9"/>
      <c r="D8" s="9"/>
      <c r="E8" s="9"/>
      <c r="F8"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election activeCell="D18" sqref="D18"/>
    </sheetView>
  </sheetViews>
  <sheetFormatPr defaultColWidth="10.59765625" defaultRowHeight="15.6" x14ac:dyDescent="0.3"/>
  <cols>
    <col min="2" max="2" width="17.5" customWidth="1"/>
    <col min="3" max="3" width="11.296875" customWidth="1"/>
  </cols>
  <sheetData>
    <row r="2" spans="2:10" x14ac:dyDescent="0.3">
      <c r="B2" s="12" t="s">
        <v>43</v>
      </c>
      <c r="C2" s="13" t="s">
        <v>31</v>
      </c>
      <c r="J2" s="19" t="s">
        <v>38</v>
      </c>
    </row>
    <row r="3" spans="2:10" x14ac:dyDescent="0.3">
      <c r="J3" s="19" t="s">
        <v>31</v>
      </c>
    </row>
    <row r="4" spans="2:10" x14ac:dyDescent="0.3">
      <c r="B4" s="23" t="s">
        <v>44</v>
      </c>
      <c r="C4" s="23"/>
      <c r="J4" s="19" t="s">
        <v>35</v>
      </c>
    </row>
    <row r="5" spans="2:10" x14ac:dyDescent="0.3">
      <c r="B5" t="s">
        <v>45</v>
      </c>
      <c r="C5" t="e" vm="4">
        <f>_xlfn.XLOOKUP(C2,Table1[Manager],Table1[Country])</f>
        <v>#VALUE!</v>
      </c>
      <c r="J5" s="19" t="s">
        <v>23</v>
      </c>
    </row>
    <row r="6" spans="2:10" x14ac:dyDescent="0.3">
      <c r="B6" t="s">
        <v>8</v>
      </c>
      <c r="C6" t="e" vm="3">
        <f>_xlfn.XLOOKUP(C2,Table1[Manager],Table1[City])</f>
        <v>#VALUE!</v>
      </c>
      <c r="J6" s="19" t="s">
        <v>28</v>
      </c>
    </row>
    <row r="7" spans="2:10" x14ac:dyDescent="0.3">
      <c r="C7" s="14"/>
    </row>
    <row r="8" spans="2:10" x14ac:dyDescent="0.3">
      <c r="B8" s="23" t="s">
        <v>46</v>
      </c>
      <c r="C8" s="23"/>
    </row>
    <row r="9" spans="2:10" x14ac:dyDescent="0.3">
      <c r="B9" s="15" t="s">
        <v>9</v>
      </c>
      <c r="C9" s="16">
        <f>SUMIFS(Table1[Revenue],Table1[Product],Findings!B9,Table1[Manager],Findings!$C$2)</f>
        <v>17219.660000000003</v>
      </c>
    </row>
    <row r="10" spans="2:10" x14ac:dyDescent="0.3">
      <c r="B10" s="15" t="s">
        <v>14</v>
      </c>
      <c r="C10" s="16">
        <f>SUMIFS(Table1[Revenue],Table1[Product],Findings!B10,Table1[Manager],Findings!$C$2)</f>
        <v>18402.100000000002</v>
      </c>
    </row>
    <row r="11" spans="2:10" x14ac:dyDescent="0.3">
      <c r="B11" s="15" t="s">
        <v>17</v>
      </c>
      <c r="C11" s="16">
        <f>SUMIFS(Table1[Revenue],Table1[Product],Findings!B11,Table1[Manager],Findings!$C$2)</f>
        <v>9026.91</v>
      </c>
    </row>
    <row r="12" spans="2:10" x14ac:dyDescent="0.3">
      <c r="B12" s="15" t="s">
        <v>21</v>
      </c>
      <c r="C12" s="16">
        <f>SUMIFS(Table1[Revenue],Table1[Product],Findings!B12,Table1[Manager],Findings!$C$2)</f>
        <v>73692.27</v>
      </c>
    </row>
    <row r="13" spans="2:10" x14ac:dyDescent="0.3">
      <c r="B13" s="15" t="s">
        <v>25</v>
      </c>
      <c r="C13" s="16">
        <f>SUMIFS(Table1[Revenue],Table1[Product],Findings!B13,Table1[Manager],Findings!$C$2)</f>
        <v>18089.099999999999</v>
      </c>
    </row>
    <row r="14" spans="2:10" x14ac:dyDescent="0.3">
      <c r="B14" s="17" t="s">
        <v>47</v>
      </c>
      <c r="C14" s="18">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vt:lpstr>
      <vt:lpstr>PRACTICE</vt:lpstr>
      <vt:lpstr>EXCEL Shortcuts</vt:lpstr>
      <vt:lpstr>Clean</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Veena Kodimala</cp:lastModifiedBy>
  <dcterms:created xsi:type="dcterms:W3CDTF">2023-02-14T11:15:23Z</dcterms:created>
  <dcterms:modified xsi:type="dcterms:W3CDTF">2026-04-17T19:06:09Z</dcterms:modified>
</cp:coreProperties>
</file>