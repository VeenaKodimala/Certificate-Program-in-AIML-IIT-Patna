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Veena\Certificate Program in Artificial Intelligence and Machine Learning\Certificate-Program-in-AIML-IIT-Patna\MODULE 2 - CLASSICAL ML\Spreadsheets for Data handling\"/>
    </mc:Choice>
  </mc:AlternateContent>
  <xr:revisionPtr revIDLastSave="0" documentId="13_ncr:1_{423BF7CF-F794-453D-AE01-56232BC9C370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README" sheetId="1" r:id="rId1"/>
    <sheet name="Orders_Raw" sheetId="2" r:id="rId2"/>
    <sheet name="Products" sheetId="3" r:id="rId3"/>
    <sheet name="Customers" sheetId="4" r:id="rId4"/>
    <sheet name="Analysis" sheetId="5" r:id="rId5"/>
  </sheets>
  <definedNames>
    <definedName name="_xlnm._FilterDatabase" localSheetId="1" hidden="1">Orders_Raw!$A$1:$K$31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3" i="2" l="1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2" i="2"/>
  <c r="P9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2" i="2"/>
  <c r="P3" i="2"/>
  <c r="P4" i="2"/>
  <c r="P5" i="2"/>
  <c r="P6" i="2"/>
  <c r="P7" i="2"/>
  <c r="P8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2" i="2"/>
  <c r="N29" i="2"/>
  <c r="N30" i="2"/>
  <c r="N31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" i="2"/>
  <c r="M2" i="2" a="1"/>
  <c r="M2" i="2" s="1"/>
  <c r="L2" i="2" a="1"/>
  <c r="L2" i="2" s="1"/>
  <c r="B37" i="2"/>
  <c r="B36" i="2" l="1"/>
  <c r="B35" i="2"/>
  <c r="B34" i="2"/>
  <c r="J2" i="2" a="1"/>
  <c r="J2" i="2" s="1"/>
  <c r="E36" i="5" l="1"/>
  <c r="D36" i="5"/>
  <c r="C36" i="5"/>
  <c r="B36" i="5"/>
  <c r="A36" i="5"/>
  <c r="E35" i="5"/>
  <c r="D35" i="5"/>
  <c r="C35" i="5"/>
  <c r="B35" i="5"/>
  <c r="A35" i="5"/>
  <c r="E34" i="5"/>
  <c r="D34" i="5"/>
  <c r="C34" i="5"/>
  <c r="B34" i="5"/>
  <c r="A34" i="5"/>
  <c r="E33" i="5"/>
  <c r="D33" i="5"/>
  <c r="C33" i="5"/>
  <c r="B33" i="5"/>
  <c r="A33" i="5"/>
  <c r="E32" i="5"/>
  <c r="D32" i="5"/>
  <c r="C32" i="5"/>
  <c r="B32" i="5"/>
  <c r="A32" i="5"/>
  <c r="E31" i="5"/>
  <c r="D31" i="5"/>
  <c r="C31" i="5"/>
  <c r="B31" i="5"/>
  <c r="A31" i="5"/>
  <c r="E30" i="5"/>
  <c r="D30" i="5"/>
  <c r="C30" i="5"/>
  <c r="B30" i="5"/>
  <c r="A30" i="5"/>
  <c r="E29" i="5"/>
  <c r="D29" i="5"/>
  <c r="C29" i="5"/>
  <c r="B29" i="5"/>
  <c r="A29" i="5"/>
  <c r="E28" i="5"/>
  <c r="D28" i="5"/>
  <c r="C28" i="5"/>
  <c r="B28" i="5"/>
  <c r="A28" i="5"/>
  <c r="E27" i="5"/>
  <c r="D27" i="5"/>
  <c r="C27" i="5"/>
  <c r="B27" i="5"/>
  <c r="A27" i="5"/>
  <c r="E23" i="5"/>
  <c r="D23" i="5"/>
  <c r="C23" i="5"/>
  <c r="B23" i="5"/>
  <c r="A23" i="5"/>
  <c r="E22" i="5"/>
  <c r="D22" i="5"/>
  <c r="C22" i="5"/>
  <c r="B22" i="5"/>
  <c r="A22" i="5"/>
  <c r="E21" i="5"/>
  <c r="D21" i="5"/>
  <c r="C21" i="5"/>
  <c r="B21" i="5"/>
  <c r="A21" i="5"/>
  <c r="E20" i="5"/>
  <c r="D20" i="5"/>
  <c r="C20" i="5"/>
  <c r="B20" i="5"/>
  <c r="A20" i="5"/>
  <c r="E19" i="5"/>
  <c r="D19" i="5"/>
  <c r="C19" i="5"/>
  <c r="B19" i="5"/>
  <c r="A19" i="5"/>
  <c r="E18" i="5"/>
  <c r="D18" i="5"/>
  <c r="C18" i="5"/>
  <c r="B18" i="5"/>
  <c r="A18" i="5"/>
  <c r="E17" i="5"/>
  <c r="D17" i="5"/>
  <c r="C17" i="5"/>
  <c r="B17" i="5"/>
  <c r="A17" i="5"/>
  <c r="E16" i="5"/>
  <c r="D16" i="5"/>
  <c r="C16" i="5"/>
  <c r="B16" i="5"/>
  <c r="A16" i="5"/>
  <c r="E15" i="5"/>
  <c r="D15" i="5"/>
  <c r="C15" i="5"/>
  <c r="B15" i="5"/>
  <c r="A15" i="5"/>
  <c r="E14" i="5"/>
  <c r="D14" i="5"/>
  <c r="C14" i="5"/>
  <c r="B14" i="5"/>
  <c r="A14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<sst xmlns="http://schemas.openxmlformats.org/spreadsheetml/2006/main" count="373" uniqueCount="259">
  <si>
    <t>📋  WORKBOOK GUIDE  ─  Spreadsheets for Data Handling Training</t>
  </si>
  <si>
    <t>Sheet Overview</t>
  </si>
  <si>
    <t>Orders_Raw</t>
  </si>
  <si>
    <t>30 rows of intentionally messy order data. Use this for cleaning, sorting, filtering &amp; functions.</t>
  </si>
  <si>
    <t>Products</t>
  </si>
  <si>
    <t>6-row product reference table. Use this as the lookup range for VLOOKUP / XLOOKUP.</t>
  </si>
  <si>
    <t>Customers</t>
  </si>
  <si>
    <t>10-row customer reference. Explore tier data and practice joins with Order data.</t>
  </si>
  <si>
    <t>Analysis</t>
  </si>
  <si>
    <t>Pre-built formulas demonstrating SUM, IF, VLOOKUP, XLOOKUP. Study and extend these.</t>
  </si>
  <si>
    <t>README</t>
  </si>
  <si>
    <t>This sheet. Keep open as a reference while working.</t>
  </si>
  <si>
    <t>Intentional Data Quality Issues to Find &amp; Fix</t>
  </si>
  <si>
    <t xml:space="preserve">  ▸  Row 6 (ORD-1006): Date in MM/DD/YYYY format instead of YYYY-MM-DD</t>
  </si>
  <si>
    <t xml:space="preserve">  ▸  Row 6 (ORD-1006): Status is lowercase 'shipped' — should be 'Shipped'</t>
  </si>
  <si>
    <t xml:space="preserve">  ▸  Row 6 (ORD-1006): Quantity is stored as TEXT '7' (highlighted orange) — convert with VALUE()</t>
  </si>
  <si>
    <t xml:space="preserve">  ▸  Rows 1, 7, 24 (Alice, Grace, Wendy): Customer names have leading/trailing spaces — fix with TRIM()</t>
  </si>
  <si>
    <t xml:space="preserve">  ▸  Rows 2, 13, 25 (Bob, Liam, Xander): Names in ALL CAPS — fix with PROPER()</t>
  </si>
  <si>
    <t xml:space="preserve">  ▸  Row 11 (ORD-1011): Duplicate of Row 1 — use Remove Duplicates</t>
  </si>
  <si>
    <t xml:space="preserve">  ▸  Row 18 (ORD-1018): Date in MM/DD/YYYY format — highlighted orange</t>
  </si>
  <si>
    <t xml:space="preserve">  ▸  Rows 3, 8, 15 (carol, henry, noah): Names in all lowercase — fix with PROPER()</t>
  </si>
  <si>
    <t>Key Formulas Quick Reference</t>
  </si>
  <si>
    <t>Function</t>
  </si>
  <si>
    <t>Example</t>
  </si>
  <si>
    <t>What It Does</t>
  </si>
  <si>
    <t>SUM</t>
  </si>
  <si>
    <t>=SUM(F2:F31)</t>
  </si>
  <si>
    <t>Total of a range</t>
  </si>
  <si>
    <t>AVERAGE</t>
  </si>
  <si>
    <t>=AVERAGE(G2:G31)</t>
  </si>
  <si>
    <t>Mean of numeric values</t>
  </si>
  <si>
    <t>COUNTIF</t>
  </si>
  <si>
    <t>=COUNTIF(H2:H31,"Shipped")</t>
  </si>
  <si>
    <t>Count cells matching a condition</t>
  </si>
  <si>
    <t>IF</t>
  </si>
  <si>
    <t>=IF(F2&gt;=10,"Large","Small")</t>
  </si>
  <si>
    <t>Return value based on condition</t>
  </si>
  <si>
    <t>TRIM</t>
  </si>
  <si>
    <t>=TRIM(C2)</t>
  </si>
  <si>
    <t>Remove extra spaces</t>
  </si>
  <si>
    <t>PROPER</t>
  </si>
  <si>
    <t>=PROPER(C2)</t>
  </si>
  <si>
    <t>Fix capitalisation</t>
  </si>
  <si>
    <t>VALUE</t>
  </si>
  <si>
    <t>=VALUE(F2)</t>
  </si>
  <si>
    <t>Convert text number to real number</t>
  </si>
  <si>
    <t>IFERROR</t>
  </si>
  <si>
    <t>=IFERROR(VLOOKUP(...),"Not Found")</t>
  </si>
  <si>
    <t>Trap errors gracefully</t>
  </si>
  <si>
    <t>VLOOKUP</t>
  </si>
  <si>
    <t>=VLOOKUP(E2,Products!$A:$F,2,FALSE)</t>
  </si>
  <si>
    <t>Look up value in a table (left-to-right)</t>
  </si>
  <si>
    <t>XLOOKUP</t>
  </si>
  <si>
    <t>=XLOOKUP(E2,Products!$A:$A,Products!$C:$C)</t>
  </si>
  <si>
    <t>Modern flexible lookup</t>
  </si>
  <si>
    <t>Order_ID</t>
  </si>
  <si>
    <t>Order_Date</t>
  </si>
  <si>
    <t>Customer_Name</t>
  </si>
  <si>
    <t>Region</t>
  </si>
  <si>
    <t>Product_ID</t>
  </si>
  <si>
    <t>Quantity</t>
  </si>
  <si>
    <t>Unit_Price</t>
  </si>
  <si>
    <t>Status</t>
  </si>
  <si>
    <t>Notes</t>
  </si>
  <si>
    <t>ORD-1001</t>
  </si>
  <si>
    <t>2024-01-05</t>
  </si>
  <si>
    <t xml:space="preserve">  Alice Johnson </t>
  </si>
  <si>
    <t>North</t>
  </si>
  <si>
    <t>PRD-A01</t>
  </si>
  <si>
    <t>Shipped</t>
  </si>
  <si>
    <t>ORD-1002</t>
  </si>
  <si>
    <t>2024-01-08</t>
  </si>
  <si>
    <t>BOB SMITH</t>
  </si>
  <si>
    <t>South</t>
  </si>
  <si>
    <t>PRD-B02</t>
  </si>
  <si>
    <t>Pending</t>
  </si>
  <si>
    <t>Rush order</t>
  </si>
  <si>
    <t>ORD-1003</t>
  </si>
  <si>
    <t>2024-01-10</t>
  </si>
  <si>
    <t>carol white</t>
  </si>
  <si>
    <t>East</t>
  </si>
  <si>
    <t>PRD-C03</t>
  </si>
  <si>
    <t>Delivered</t>
  </si>
  <si>
    <t>ORD-1004</t>
  </si>
  <si>
    <t>2024-01-15</t>
  </si>
  <si>
    <t>David Lee</t>
  </si>
  <si>
    <t>West</t>
  </si>
  <si>
    <t>ORD-1005</t>
  </si>
  <si>
    <t>2024-01-18</t>
  </si>
  <si>
    <t xml:space="preserve">  Emma Brown  </t>
  </si>
  <si>
    <t>PRD-D04</t>
  </si>
  <si>
    <t>Cancelled</t>
  </si>
  <si>
    <t>Customer request</t>
  </si>
  <si>
    <t>ORD-1006</t>
  </si>
  <si>
    <t>01/22/2024</t>
  </si>
  <si>
    <t>FRANK MILLER</t>
  </si>
  <si>
    <t>SOUTH</t>
  </si>
  <si>
    <t>7</t>
  </si>
  <si>
    <t>shipped</t>
  </si>
  <si>
    <t>ORD-1007</t>
  </si>
  <si>
    <t>2024-01-25</t>
  </si>
  <si>
    <t xml:space="preserve">Grace Kim </t>
  </si>
  <si>
    <t>ORD-1008</t>
  </si>
  <si>
    <t>2024-01-28</t>
  </si>
  <si>
    <t>henry jones</t>
  </si>
  <si>
    <t>PRD-E05</t>
  </si>
  <si>
    <t>ORD-1009</t>
  </si>
  <si>
    <t>2024-02-01</t>
  </si>
  <si>
    <t>Isabel Tan</t>
  </si>
  <si>
    <t>ORD-1010</t>
  </si>
  <si>
    <t>2024-02-03</t>
  </si>
  <si>
    <t>James Wu</t>
  </si>
  <si>
    <t>VIP</t>
  </si>
  <si>
    <t>ORD-1011</t>
  </si>
  <si>
    <t>2024-02-07</t>
  </si>
  <si>
    <t>ORD-1012</t>
  </si>
  <si>
    <t>2024-02-10</t>
  </si>
  <si>
    <t>Karen Patel</t>
  </si>
  <si>
    <t>PRD-F06</t>
  </si>
  <si>
    <t>ORD-1013</t>
  </si>
  <si>
    <t>2024-02-12</t>
  </si>
  <si>
    <t>LIAM CHEN</t>
  </si>
  <si>
    <t>ORD-1014</t>
  </si>
  <si>
    <t>2024-02-15</t>
  </si>
  <si>
    <t>Mia Russo</t>
  </si>
  <si>
    <t>ORD-1015</t>
  </si>
  <si>
    <t>2024-02-18</t>
  </si>
  <si>
    <t>noah kim</t>
  </si>
  <si>
    <t>Out of stock</t>
  </si>
  <si>
    <t>ORD-1016</t>
  </si>
  <si>
    <t>2024-02-20</t>
  </si>
  <si>
    <t>Olivia Park</t>
  </si>
  <si>
    <t>ORD-1017</t>
  </si>
  <si>
    <t>2024-02-22</t>
  </si>
  <si>
    <t>Peter Grant</t>
  </si>
  <si>
    <t>ORD-1018</t>
  </si>
  <si>
    <t>02/25/2024</t>
  </si>
  <si>
    <t>Quinn Adams</t>
  </si>
  <si>
    <t>ORD-1019</t>
  </si>
  <si>
    <t>2024-03-01</t>
  </si>
  <si>
    <t>Rachel Scott</t>
  </si>
  <si>
    <t>ORD-1020</t>
  </si>
  <si>
    <t>2024-03-04</t>
  </si>
  <si>
    <t>Sam Torres</t>
  </si>
  <si>
    <t>ORD-1021</t>
  </si>
  <si>
    <t>2024-03-06</t>
  </si>
  <si>
    <t>Tina Bell</t>
  </si>
  <si>
    <t>ORD-1022</t>
  </si>
  <si>
    <t>2024-03-10</t>
  </si>
  <si>
    <t>Uma Singh</t>
  </si>
  <si>
    <t>ORD-1023</t>
  </si>
  <si>
    <t>2024-03-12</t>
  </si>
  <si>
    <t>Victor Ng</t>
  </si>
  <si>
    <t>ORD-1024</t>
  </si>
  <si>
    <t>2024-03-15</t>
  </si>
  <si>
    <t xml:space="preserve">  Wendy Fox  </t>
  </si>
  <si>
    <t>ORD-1025</t>
  </si>
  <si>
    <t>2024-03-18</t>
  </si>
  <si>
    <t>XANDER HILL</t>
  </si>
  <si>
    <t>ORD-1026</t>
  </si>
  <si>
    <t>2024-03-20</t>
  </si>
  <si>
    <t>Yara Osei</t>
  </si>
  <si>
    <t>ORD-1027</t>
  </si>
  <si>
    <t>2024-03-22</t>
  </si>
  <si>
    <t>Zoe Clark</t>
  </si>
  <si>
    <t>ORD-1028</t>
  </si>
  <si>
    <t>2024-03-25</t>
  </si>
  <si>
    <t>Alice Johnson</t>
  </si>
  <si>
    <t>ORD-1029</t>
  </si>
  <si>
    <t>2024-03-28</t>
  </si>
  <si>
    <t>bob smith</t>
  </si>
  <si>
    <t>ORD-1030</t>
  </si>
  <si>
    <t>2024-03-30</t>
  </si>
  <si>
    <t>Carol White</t>
  </si>
  <si>
    <t>Product_Name</t>
  </si>
  <si>
    <t>Category</t>
  </si>
  <si>
    <t>Stock_Qty</t>
  </si>
  <si>
    <t>Supplier</t>
  </si>
  <si>
    <t>Wireless Headphones</t>
  </si>
  <si>
    <t>Electronics</t>
  </si>
  <si>
    <t>TechSupply Co.</t>
  </si>
  <si>
    <t>Standing Desk</t>
  </si>
  <si>
    <t>Furniture</t>
  </si>
  <si>
    <t>OfficePlus Ltd.</t>
  </si>
  <si>
    <t>Ergonomic Chair</t>
  </si>
  <si>
    <t>4K Monitor</t>
  </si>
  <si>
    <t>USB Hub</t>
  </si>
  <si>
    <t>Gadgets Inc.</t>
  </si>
  <si>
    <t>Notebook (A5)</t>
  </si>
  <si>
    <t>Stationery</t>
  </si>
  <si>
    <t>PaperWorld</t>
  </si>
  <si>
    <t>Customer_Tier</t>
  </si>
  <si>
    <t>Email</t>
  </si>
  <si>
    <t>Country</t>
  </si>
  <si>
    <t>Join_Date</t>
  </si>
  <si>
    <t>Total_Orders</t>
  </si>
  <si>
    <t>Gold</t>
  </si>
  <si>
    <t>alice@example.com</t>
  </si>
  <si>
    <t>USA</t>
  </si>
  <si>
    <t>2022-03-10</t>
  </si>
  <si>
    <t>Bob Smith</t>
  </si>
  <si>
    <t>Silver</t>
  </si>
  <si>
    <t>bob@example.com</t>
  </si>
  <si>
    <t>2023-01-15</t>
  </si>
  <si>
    <t>Bronze</t>
  </si>
  <si>
    <t>carol@example.com</t>
  </si>
  <si>
    <t>Canada</t>
  </si>
  <si>
    <t>2023-06-01</t>
  </si>
  <si>
    <t>david@example.com</t>
  </si>
  <si>
    <t>UK</t>
  </si>
  <si>
    <t>2021-11-20</t>
  </si>
  <si>
    <t>Emma Brown</t>
  </si>
  <si>
    <t>emma@example.com</t>
  </si>
  <si>
    <t>2023-09-05</t>
  </si>
  <si>
    <t>Frank Miller</t>
  </si>
  <si>
    <t>frank@example.com</t>
  </si>
  <si>
    <t>Grace Kim</t>
  </si>
  <si>
    <t>grace@example.com</t>
  </si>
  <si>
    <t>2022-07-18</t>
  </si>
  <si>
    <t>Henry Jones</t>
  </si>
  <si>
    <t>henry@example.com</t>
  </si>
  <si>
    <t>2023-11-03</t>
  </si>
  <si>
    <t>isabel@example.com</t>
  </si>
  <si>
    <t>2021-05-14</t>
  </si>
  <si>
    <t>james@example.com</t>
  </si>
  <si>
    <t>2020-08-22</t>
  </si>
  <si>
    <t>SECTION A  ─  Basic Functions (SUM, AVERAGE, COUNT, IF)</t>
  </si>
  <si>
    <t>Metric</t>
  </si>
  <si>
    <t>Formula Used</t>
  </si>
  <si>
    <t>Result</t>
  </si>
  <si>
    <t>Total Orders</t>
  </si>
  <si>
    <t>Total Revenue</t>
  </si>
  <si>
    <t>Average Unit Price</t>
  </si>
  <si>
    <t>Max Order Quantity</t>
  </si>
  <si>
    <t>Min Order Quantity</t>
  </si>
  <si>
    <t>Shipped Orders</t>
  </si>
  <si>
    <t>Pending Orders</t>
  </si>
  <si>
    <t>High-Value Orders (&gt;$1000)</t>
  </si>
  <si>
    <t>SECTION B  ─  IF Function: Order Size Classification</t>
  </si>
  <si>
    <t>Order_Size (IF formula)</t>
  </si>
  <si>
    <t>Revenue</t>
  </si>
  <si>
    <t>Revenue_Band (nested IF)</t>
  </si>
  <si>
    <t>SECTION C  ─  VLOOKUP / XLOOKUP: Enrich Orders with Product Names</t>
  </si>
  <si>
    <t>Product_Name (VLOOKUP)</t>
  </si>
  <si>
    <t>Category (XLOOKUP)</t>
  </si>
  <si>
    <t>Unit_Price_Check (VLOOKUP)</t>
  </si>
  <si>
    <t>TotalRevenue</t>
  </si>
  <si>
    <t>Max Quantity</t>
  </si>
  <si>
    <t>Min Quantity</t>
  </si>
  <si>
    <t>TotalRevenue - without formula</t>
  </si>
  <si>
    <t>Total orders Shipped</t>
  </si>
  <si>
    <t>CustomerName - Trimmed</t>
  </si>
  <si>
    <t>CustomerName - Upper</t>
  </si>
  <si>
    <t>Quantity Categorisation</t>
  </si>
  <si>
    <t>Quantity Categorisation - Nested if</t>
  </si>
  <si>
    <t>Quantity in Mumbers</t>
  </si>
  <si>
    <t>Unit_Price*3</t>
  </si>
  <si>
    <t>Product Name</t>
  </si>
  <si>
    <r>
      <rPr>
        <b/>
        <sz val="11"/>
        <color theme="1"/>
        <rFont val="Calibri"/>
        <family val="2"/>
      </rPr>
      <t xml:space="preserve">E3,Products!$A:$F,2,FALSE </t>
    </r>
    <r>
      <rPr>
        <sz val="11"/>
        <color theme="1"/>
        <rFont val="Calibri"/>
        <family val="2"/>
        <charset val="1"/>
      </rPr>
      <t>- Meaning, E3 is the cell for i/p, Products sheet from cell A to F should be considered for searching o/p value, 2nd column from products sheet,False means donot take only the exact match).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</si>
</sst>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5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0B7285"/>
      <name val="Arial"/>
      <charset val="1"/>
    </font>
    <font>
      <sz val="10"/>
      <name val="Arial"/>
      <charset val="1"/>
    </font>
    <font>
      <sz val="10"/>
      <color rgb="FF1A2B3C"/>
      <name val="Arial"/>
      <charset val="1"/>
    </font>
    <font>
      <b/>
      <sz val="10"/>
      <color rgb="FFFFFFFF"/>
      <name val="Arial"/>
      <charset val="1"/>
    </font>
    <font>
      <sz val="9"/>
      <color rgb="FF333333"/>
      <name val="Consolas"/>
      <charset val="1"/>
    </font>
    <font>
      <b/>
      <sz val="11"/>
      <color rgb="FFFFFFFF"/>
      <name val="Arial"/>
      <charset val="1"/>
    </font>
    <font>
      <b/>
      <sz val="12"/>
      <color rgb="FFFFFFFF"/>
      <name val="Arial"/>
      <charset val="1"/>
    </font>
    <font>
      <b/>
      <sz val="10"/>
      <name val="Arial"/>
      <charset val="1"/>
    </font>
    <font>
      <i/>
      <sz val="9"/>
      <color rgb="FF555555"/>
      <name val="Arial"/>
      <charset val="1"/>
    </font>
    <font>
      <sz val="10"/>
      <color rgb="FF0B7285"/>
      <name val="Arial"/>
      <charset val="1"/>
    </font>
    <font>
      <b/>
      <sz val="11"/>
      <color rgb="FFFFFFFF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0D2B3E"/>
        <bgColor rgb="FF1A2B3C"/>
      </patternFill>
    </fill>
    <fill>
      <patternFill patternType="solid">
        <fgColor rgb="FF0B7285"/>
        <bgColor rgb="FF008080"/>
      </patternFill>
    </fill>
    <fill>
      <patternFill patternType="solid">
        <fgColor rgb="FFF0EBE3"/>
        <bgColor rgb="FFE8E8E8"/>
      </patternFill>
    </fill>
    <fill>
      <patternFill patternType="solid">
        <fgColor rgb="FFF2F2F2"/>
        <bgColor rgb="FFEAF6F8"/>
      </patternFill>
    </fill>
    <fill>
      <patternFill patternType="solid">
        <fgColor rgb="FFFFFFFF"/>
        <bgColor rgb="FFF2F2F2"/>
      </patternFill>
    </fill>
    <fill>
      <patternFill patternType="solid">
        <fgColor rgb="FFFFE4B5"/>
        <bgColor rgb="FFFDEBD0"/>
      </patternFill>
    </fill>
    <fill>
      <patternFill patternType="solid">
        <fgColor rgb="FFFFF3CD"/>
        <bgColor rgb="FFFDEBD0"/>
      </patternFill>
    </fill>
    <fill>
      <patternFill patternType="solid">
        <fgColor rgb="FFE8E8E8"/>
        <bgColor rgb="FFF0EBE3"/>
      </patternFill>
    </fill>
    <fill>
      <patternFill patternType="solid">
        <fgColor rgb="FFFDEBD0"/>
        <bgColor rgb="FFFFF3CD"/>
      </patternFill>
    </fill>
    <fill>
      <patternFill patternType="solid">
        <fgColor rgb="FFEAF6F8"/>
        <bgColor rgb="FFF2F2F2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5" fillId="2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7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vertical="center"/>
    </xf>
    <xf numFmtId="0" fontId="10" fillId="5" borderId="1" xfId="0" applyFont="1" applyFill="1" applyBorder="1"/>
    <xf numFmtId="0" fontId="11" fillId="11" borderId="1" xfId="0" applyFont="1" applyFill="1" applyBorder="1" applyAlignment="1">
      <alignment horizontal="right" vertical="center"/>
    </xf>
    <xf numFmtId="0" fontId="10" fillId="6" borderId="1" xfId="0" applyFont="1" applyFill="1" applyBorder="1"/>
    <xf numFmtId="164" fontId="11" fillId="11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/>
    </xf>
    <xf numFmtId="0" fontId="3" fillId="5" borderId="1" xfId="0" applyFont="1" applyFill="1" applyBorder="1"/>
    <xf numFmtId="164" fontId="3" fillId="5" borderId="1" xfId="0" applyNumberFormat="1" applyFont="1" applyFill="1" applyBorder="1"/>
    <xf numFmtId="0" fontId="3" fillId="6" borderId="1" xfId="0" applyFont="1" applyFill="1" applyBorder="1"/>
    <xf numFmtId="164" fontId="3" fillId="6" borderId="1" xfId="0" applyNumberFormat="1" applyFont="1" applyFill="1" applyBorder="1"/>
    <xf numFmtId="0" fontId="12" fillId="2" borderId="3" xfId="0" applyFont="1" applyFill="1" applyBorder="1" applyAlignment="1">
      <alignment horizontal="center" vertical="center" wrapText="1"/>
    </xf>
    <xf numFmtId="0" fontId="13" fillId="0" borderId="4" xfId="0" applyFont="1" applyBorder="1"/>
    <xf numFmtId="0" fontId="6" fillId="6" borderId="2" xfId="0" applyFont="1" applyFill="1" applyBorder="1"/>
    <xf numFmtId="0" fontId="3" fillId="6" borderId="2" xfId="0" applyFont="1" applyFill="1" applyBorder="1"/>
    <xf numFmtId="0" fontId="6" fillId="5" borderId="2" xfId="0" applyFont="1" applyFill="1" applyBorder="1"/>
    <xf numFmtId="0" fontId="3" fillId="5" borderId="2" xfId="0" applyFont="1" applyFill="1" applyBorder="1"/>
    <xf numFmtId="0" fontId="4" fillId="6" borderId="0" xfId="0" applyFont="1" applyFill="1"/>
    <xf numFmtId="0" fontId="1" fillId="3" borderId="0" xfId="0" applyFont="1" applyFill="1"/>
    <xf numFmtId="0" fontId="5" fillId="2" borderId="1" xfId="0" applyFont="1" applyFill="1" applyBorder="1"/>
    <xf numFmtId="0" fontId="4" fillId="5" borderId="0" xfId="0" applyFont="1" applyFill="1"/>
    <xf numFmtId="0" fontId="1" fillId="2" borderId="0" xfId="0" applyFont="1" applyFill="1"/>
    <xf numFmtId="0" fontId="8" fillId="2" borderId="0" xfId="0" applyFont="1" applyFill="1"/>
    <xf numFmtId="0" fontId="7" fillId="2" borderId="3" xfId="0" applyFont="1" applyFill="1" applyBorder="1" applyAlignment="1">
      <alignment horizontal="center" vertical="center" wrapText="1"/>
    </xf>
    <xf numFmtId="0" fontId="13" fillId="0" borderId="4" xfId="0" applyFont="1" applyFill="1" applyBorder="1"/>
    <xf numFmtId="0" fontId="0" fillId="0" borderId="4" xfId="0" applyBorder="1"/>
    <xf numFmtId="0" fontId="1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7285"/>
      <rgbColor rgb="FFF0EBE3"/>
      <rgbColor rgb="FF808080"/>
      <rgbColor rgb="FF9999FF"/>
      <rgbColor rgb="FF993366"/>
      <rgbColor rgb="FFFFF3CD"/>
      <rgbColor rgb="FFEAF6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8E8E8"/>
      <rgbColor rgb="FFFDEBD0"/>
      <rgbColor rgb="FF99CCFF"/>
      <rgbColor rgb="FFFF99CC"/>
      <rgbColor rgb="FFCC99FF"/>
      <rgbColor rgb="FFFFE4B5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D2B3E"/>
      <rgbColor rgb="FF339966"/>
      <rgbColor rgb="FF003300"/>
      <rgbColor rgb="FF1A2B3C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showGridLines="0" zoomScaleNormal="100" workbookViewId="0">
      <selection sqref="A1:E1"/>
    </sheetView>
  </sheetViews>
  <sheetFormatPr defaultColWidth="8.6640625" defaultRowHeight="14.4" x14ac:dyDescent="0.3"/>
  <cols>
    <col min="1" max="1" width="22" customWidth="1"/>
    <col min="2" max="2" width="38" customWidth="1"/>
    <col min="3" max="3" width="10" customWidth="1"/>
    <col min="4" max="4" width="40" customWidth="1"/>
    <col min="5" max="5" width="10" customWidth="1"/>
  </cols>
  <sheetData>
    <row r="1" spans="1:5" ht="27.75" customHeight="1" x14ac:dyDescent="0.3">
      <c r="A1" s="33" t="s">
        <v>0</v>
      </c>
      <c r="B1" s="33"/>
      <c r="C1" s="33"/>
      <c r="D1" s="33"/>
      <c r="E1" s="33"/>
    </row>
    <row r="3" spans="1:5" ht="27.75" customHeight="1" x14ac:dyDescent="0.3">
      <c r="A3" s="30" t="s">
        <v>1</v>
      </c>
      <c r="B3" s="30"/>
      <c r="C3" s="30"/>
      <c r="D3" s="30"/>
      <c r="E3" s="30"/>
    </row>
    <row r="4" spans="1:5" ht="19.5" customHeight="1" x14ac:dyDescent="0.3">
      <c r="A4" s="2" t="s">
        <v>2</v>
      </c>
      <c r="B4" s="28" t="s">
        <v>3</v>
      </c>
      <c r="C4" s="28"/>
      <c r="D4" s="28"/>
      <c r="E4" s="28"/>
    </row>
    <row r="5" spans="1:5" ht="19.5" customHeight="1" x14ac:dyDescent="0.3">
      <c r="A5" s="2" t="s">
        <v>4</v>
      </c>
      <c r="B5" s="26" t="s">
        <v>5</v>
      </c>
      <c r="C5" s="26"/>
      <c r="D5" s="26"/>
      <c r="E5" s="26"/>
    </row>
    <row r="6" spans="1:5" ht="19.5" customHeight="1" x14ac:dyDescent="0.3">
      <c r="A6" s="2" t="s">
        <v>6</v>
      </c>
      <c r="B6" s="28" t="s">
        <v>7</v>
      </c>
      <c r="C6" s="28"/>
      <c r="D6" s="28"/>
      <c r="E6" s="28"/>
    </row>
    <row r="7" spans="1:5" ht="19.5" customHeight="1" x14ac:dyDescent="0.3">
      <c r="A7" s="2" t="s">
        <v>8</v>
      </c>
      <c r="B7" s="26" t="s">
        <v>9</v>
      </c>
      <c r="C7" s="26"/>
      <c r="D7" s="26"/>
      <c r="E7" s="26"/>
    </row>
    <row r="8" spans="1:5" ht="19.5" customHeight="1" x14ac:dyDescent="0.3">
      <c r="A8" s="2" t="s">
        <v>10</v>
      </c>
      <c r="B8" s="28" t="s">
        <v>11</v>
      </c>
      <c r="C8" s="28"/>
      <c r="D8" s="28"/>
      <c r="E8" s="28"/>
    </row>
    <row r="10" spans="1:5" ht="27.75" customHeight="1" x14ac:dyDescent="0.3">
      <c r="A10" s="30" t="s">
        <v>12</v>
      </c>
      <c r="B10" s="30"/>
      <c r="C10" s="30"/>
      <c r="D10" s="30"/>
      <c r="E10" s="30"/>
    </row>
    <row r="11" spans="1:5" ht="18" customHeight="1" x14ac:dyDescent="0.3">
      <c r="A11" s="32" t="s">
        <v>13</v>
      </c>
      <c r="B11" s="32"/>
      <c r="C11" s="32"/>
      <c r="D11" s="32"/>
      <c r="E11" s="32"/>
    </row>
    <row r="12" spans="1:5" ht="18" customHeight="1" x14ac:dyDescent="0.3">
      <c r="A12" s="29" t="s">
        <v>14</v>
      </c>
      <c r="B12" s="29"/>
      <c r="C12" s="29"/>
      <c r="D12" s="29"/>
      <c r="E12" s="29"/>
    </row>
    <row r="13" spans="1:5" ht="18" customHeight="1" x14ac:dyDescent="0.3">
      <c r="A13" s="32" t="s">
        <v>15</v>
      </c>
      <c r="B13" s="32"/>
      <c r="C13" s="32"/>
      <c r="D13" s="32"/>
      <c r="E13" s="32"/>
    </row>
    <row r="14" spans="1:5" ht="18" customHeight="1" x14ac:dyDescent="0.3">
      <c r="A14" s="29" t="s">
        <v>16</v>
      </c>
      <c r="B14" s="29"/>
      <c r="C14" s="29"/>
      <c r="D14" s="29"/>
      <c r="E14" s="29"/>
    </row>
    <row r="15" spans="1:5" ht="18" customHeight="1" x14ac:dyDescent="0.3">
      <c r="A15" s="32" t="s">
        <v>17</v>
      </c>
      <c r="B15" s="32"/>
      <c r="C15" s="32"/>
      <c r="D15" s="32"/>
      <c r="E15" s="32"/>
    </row>
    <row r="16" spans="1:5" ht="18" customHeight="1" x14ac:dyDescent="0.3">
      <c r="A16" s="29" t="s">
        <v>18</v>
      </c>
      <c r="B16" s="29"/>
      <c r="C16" s="29"/>
      <c r="D16" s="29"/>
      <c r="E16" s="29"/>
    </row>
    <row r="17" spans="1:5" ht="18" customHeight="1" x14ac:dyDescent="0.3">
      <c r="A17" s="32" t="s">
        <v>19</v>
      </c>
      <c r="B17" s="32"/>
      <c r="C17" s="32"/>
      <c r="D17" s="32"/>
      <c r="E17" s="32"/>
    </row>
    <row r="18" spans="1:5" ht="18" customHeight="1" x14ac:dyDescent="0.3">
      <c r="A18" s="29" t="s">
        <v>20</v>
      </c>
      <c r="B18" s="29"/>
      <c r="C18" s="29"/>
      <c r="D18" s="29"/>
      <c r="E18" s="29"/>
    </row>
    <row r="20" spans="1:5" ht="27.75" customHeight="1" x14ac:dyDescent="0.3">
      <c r="A20" s="30" t="s">
        <v>21</v>
      </c>
      <c r="B20" s="30"/>
      <c r="C20" s="30"/>
      <c r="D20" s="30"/>
      <c r="E20" s="30"/>
    </row>
    <row r="21" spans="1:5" ht="15" customHeight="1" x14ac:dyDescent="0.3">
      <c r="A21" s="1" t="s">
        <v>22</v>
      </c>
      <c r="B21" s="31" t="s">
        <v>23</v>
      </c>
      <c r="C21" s="31"/>
      <c r="D21" s="31" t="s">
        <v>24</v>
      </c>
      <c r="E21" s="31"/>
    </row>
    <row r="22" spans="1:5" ht="18" customHeight="1" x14ac:dyDescent="0.3">
      <c r="A22" s="3" t="s">
        <v>25</v>
      </c>
      <c r="B22" s="27" t="s">
        <v>26</v>
      </c>
      <c r="C22" s="27"/>
      <c r="D22" s="28" t="s">
        <v>27</v>
      </c>
      <c r="E22" s="28"/>
    </row>
    <row r="23" spans="1:5" ht="18" customHeight="1" x14ac:dyDescent="0.3">
      <c r="A23" s="4" t="s">
        <v>28</v>
      </c>
      <c r="B23" s="25" t="s">
        <v>29</v>
      </c>
      <c r="C23" s="25"/>
      <c r="D23" s="26" t="s">
        <v>30</v>
      </c>
      <c r="E23" s="26"/>
    </row>
    <row r="24" spans="1:5" ht="18" customHeight="1" x14ac:dyDescent="0.3">
      <c r="A24" s="3" t="s">
        <v>31</v>
      </c>
      <c r="B24" s="27" t="s">
        <v>32</v>
      </c>
      <c r="C24" s="27"/>
      <c r="D24" s="28" t="s">
        <v>33</v>
      </c>
      <c r="E24" s="28"/>
    </row>
    <row r="25" spans="1:5" ht="18" customHeight="1" x14ac:dyDescent="0.3">
      <c r="A25" s="4" t="s">
        <v>34</v>
      </c>
      <c r="B25" s="25" t="s">
        <v>35</v>
      </c>
      <c r="C25" s="25"/>
      <c r="D25" s="26" t="s">
        <v>36</v>
      </c>
      <c r="E25" s="26"/>
    </row>
    <row r="26" spans="1:5" ht="18" customHeight="1" x14ac:dyDescent="0.3">
      <c r="A26" s="3" t="s">
        <v>37</v>
      </c>
      <c r="B26" s="27" t="s">
        <v>38</v>
      </c>
      <c r="C26" s="27"/>
      <c r="D26" s="28" t="s">
        <v>39</v>
      </c>
      <c r="E26" s="28"/>
    </row>
    <row r="27" spans="1:5" ht="18" customHeight="1" x14ac:dyDescent="0.3">
      <c r="A27" s="4" t="s">
        <v>40</v>
      </c>
      <c r="B27" s="25" t="s">
        <v>41</v>
      </c>
      <c r="C27" s="25"/>
      <c r="D27" s="26" t="s">
        <v>42</v>
      </c>
      <c r="E27" s="26"/>
    </row>
    <row r="28" spans="1:5" ht="18" customHeight="1" x14ac:dyDescent="0.3">
      <c r="A28" s="3" t="s">
        <v>43</v>
      </c>
      <c r="B28" s="27" t="s">
        <v>44</v>
      </c>
      <c r="C28" s="27"/>
      <c r="D28" s="28" t="s">
        <v>45</v>
      </c>
      <c r="E28" s="28"/>
    </row>
    <row r="29" spans="1:5" ht="18" customHeight="1" x14ac:dyDescent="0.3">
      <c r="A29" s="4" t="s">
        <v>46</v>
      </c>
      <c r="B29" s="25" t="s">
        <v>47</v>
      </c>
      <c r="C29" s="25"/>
      <c r="D29" s="26" t="s">
        <v>48</v>
      </c>
      <c r="E29" s="26"/>
    </row>
    <row r="30" spans="1:5" ht="18" customHeight="1" x14ac:dyDescent="0.3">
      <c r="A30" s="3" t="s">
        <v>49</v>
      </c>
      <c r="B30" s="27" t="s">
        <v>50</v>
      </c>
      <c r="C30" s="27"/>
      <c r="D30" s="28" t="s">
        <v>51</v>
      </c>
      <c r="E30" s="28"/>
    </row>
    <row r="31" spans="1:5" ht="18" customHeight="1" x14ac:dyDescent="0.3">
      <c r="A31" s="4" t="s">
        <v>52</v>
      </c>
      <c r="B31" s="25" t="s">
        <v>53</v>
      </c>
      <c r="C31" s="25"/>
      <c r="D31" s="26" t="s">
        <v>54</v>
      </c>
      <c r="E31" s="26"/>
    </row>
  </sheetData>
  <mergeCells count="39">
    <mergeCell ref="A1:E1"/>
    <mergeCell ref="A3:E3"/>
    <mergeCell ref="B4:E4"/>
    <mergeCell ref="B5:E5"/>
    <mergeCell ref="B6:E6"/>
    <mergeCell ref="B7:E7"/>
    <mergeCell ref="B8:E8"/>
    <mergeCell ref="A10:E10"/>
    <mergeCell ref="A11:E11"/>
    <mergeCell ref="A12:E12"/>
    <mergeCell ref="A13:E13"/>
    <mergeCell ref="A14:E14"/>
    <mergeCell ref="A15:E15"/>
    <mergeCell ref="A16:E16"/>
    <mergeCell ref="A17:E17"/>
    <mergeCell ref="A18:E18"/>
    <mergeCell ref="A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7"/>
  <sheetViews>
    <sheetView tabSelected="1" topLeftCell="M1" zoomScaleNormal="100" workbookViewId="0">
      <pane ySplit="1" topLeftCell="A2" activePane="bottomLeft" state="frozen"/>
      <selection pane="bottomLeft" activeCell="U14" sqref="U14"/>
    </sheetView>
  </sheetViews>
  <sheetFormatPr defaultColWidth="8.6640625" defaultRowHeight="14.4" x14ac:dyDescent="0.3"/>
  <cols>
    <col min="1" max="1" width="17.88671875" bestFit="1" customWidth="1"/>
    <col min="2" max="2" width="14" customWidth="1"/>
    <col min="3" max="3" width="22" customWidth="1"/>
    <col min="4" max="4" width="10" customWidth="1"/>
    <col min="5" max="5" width="12" customWidth="1"/>
    <col min="6" max="6" width="10" customWidth="1"/>
    <col min="7" max="8" width="12" customWidth="1"/>
    <col min="9" max="9" width="20" customWidth="1"/>
    <col min="10" max="10" width="20.33203125" customWidth="1"/>
    <col min="11" max="11" width="18.77734375" bestFit="1" customWidth="1"/>
    <col min="12" max="12" width="14.77734375" bestFit="1" customWidth="1"/>
    <col min="13" max="13" width="14.33203125" bestFit="1" customWidth="1"/>
    <col min="14" max="14" width="15.21875" bestFit="1" customWidth="1"/>
    <col min="15" max="15" width="24.21875" bestFit="1" customWidth="1"/>
    <col min="18" max="18" width="18.6640625" bestFit="1" customWidth="1"/>
    <col min="21" max="21" width="49.6640625" customWidth="1"/>
  </cols>
  <sheetData>
    <row r="1" spans="1:21" ht="27.75" customHeight="1" x14ac:dyDescent="0.3">
      <c r="A1" s="5" t="s">
        <v>55</v>
      </c>
      <c r="B1" s="5" t="s">
        <v>56</v>
      </c>
      <c r="C1" s="5" t="s">
        <v>57</v>
      </c>
      <c r="D1" s="5" t="s">
        <v>58</v>
      </c>
      <c r="E1" s="5" t="s">
        <v>59</v>
      </c>
      <c r="F1" s="5" t="s">
        <v>60</v>
      </c>
      <c r="G1" s="5" t="s">
        <v>61</v>
      </c>
      <c r="H1" s="5" t="s">
        <v>62</v>
      </c>
      <c r="I1" s="5" t="s">
        <v>63</v>
      </c>
      <c r="J1" s="23" t="s">
        <v>246</v>
      </c>
      <c r="K1" s="23" t="s">
        <v>249</v>
      </c>
      <c r="L1" s="35" t="s">
        <v>251</v>
      </c>
      <c r="M1" s="35" t="s">
        <v>252</v>
      </c>
      <c r="N1" s="35" t="s">
        <v>253</v>
      </c>
      <c r="O1" s="35" t="s">
        <v>254</v>
      </c>
      <c r="P1" s="35" t="s">
        <v>255</v>
      </c>
      <c r="Q1" s="35" t="s">
        <v>256</v>
      </c>
      <c r="R1" s="35" t="s">
        <v>257</v>
      </c>
    </row>
    <row r="2" spans="1:21" ht="15" customHeight="1" x14ac:dyDescent="0.3">
      <c r="A2" s="6" t="s">
        <v>64</v>
      </c>
      <c r="B2" s="6" t="s">
        <v>65</v>
      </c>
      <c r="C2" s="6" t="s">
        <v>66</v>
      </c>
      <c r="D2" s="6" t="s">
        <v>67</v>
      </c>
      <c r="E2" s="6" t="s">
        <v>68</v>
      </c>
      <c r="F2" s="6">
        <v>10</v>
      </c>
      <c r="G2" s="6">
        <v>49.99</v>
      </c>
      <c r="H2" s="6" t="s">
        <v>69</v>
      </c>
      <c r="I2" s="6"/>
      <c r="J2" cm="1">
        <f t="array" ref="J2:J31">(F2:F31*G2:G31)</f>
        <v>499.90000000000003</v>
      </c>
      <c r="K2">
        <v>499.90000000000003</v>
      </c>
      <c r="L2" t="str" cm="1">
        <f t="array" ref="L2:L31">TRIM(C2:C31)</f>
        <v>Alice Johnson</v>
      </c>
      <c r="M2" t="str" cm="1">
        <f t="array" ref="M2:M31">UPPER(_xlfn.ANCHORARRAY(L2))</f>
        <v>ALICE JOHNSON</v>
      </c>
      <c r="N2" t="str">
        <f>IF(F2&gt;=10,"Large","Small")</f>
        <v>Large</v>
      </c>
      <c r="O2" t="str">
        <f>IF(F2&gt;=10,"Large",IF(F2&gt;=5,"Medium","Small"))</f>
        <v>Large</v>
      </c>
      <c r="P2">
        <f>VALUE(F2)</f>
        <v>10</v>
      </c>
      <c r="Q2">
        <f>G2*3</f>
        <v>149.97</v>
      </c>
      <c r="R2" t="str">
        <f>VLOOKUP(E2,Products!$A:$F,2,FALSE)</f>
        <v>Wireless Headphones</v>
      </c>
    </row>
    <row r="3" spans="1:21" ht="15" customHeight="1" x14ac:dyDescent="0.3">
      <c r="A3" s="7" t="s">
        <v>70</v>
      </c>
      <c r="B3" s="7" t="s">
        <v>71</v>
      </c>
      <c r="C3" s="7" t="s">
        <v>72</v>
      </c>
      <c r="D3" s="7" t="s">
        <v>73</v>
      </c>
      <c r="E3" s="7" t="s">
        <v>74</v>
      </c>
      <c r="F3" s="7">
        <v>5</v>
      </c>
      <c r="G3" s="7">
        <v>120</v>
      </c>
      <c r="H3" s="7" t="s">
        <v>75</v>
      </c>
      <c r="I3" s="7" t="s">
        <v>76</v>
      </c>
      <c r="J3">
        <v>600</v>
      </c>
      <c r="K3">
        <v>600</v>
      </c>
      <c r="L3" t="str">
        <v>BOB SMITH</v>
      </c>
      <c r="M3" t="str">
        <v>BOB SMITH</v>
      </c>
      <c r="N3" t="str">
        <f t="shared" ref="N3:N31" si="0">IF(F3&gt;=10,"Large","Small")</f>
        <v>Small</v>
      </c>
      <c r="O3" t="str">
        <f t="shared" ref="O3:O35" si="1">IF(F3&gt;=10,"Large",IF(F3&gt;=5,"Medium","Small"))</f>
        <v>Medium</v>
      </c>
      <c r="P3">
        <f t="shared" ref="P3:P31" si="2">VALUE(F3)</f>
        <v>5</v>
      </c>
      <c r="Q3">
        <f t="shared" ref="Q3:Q31" si="3">G3*3</f>
        <v>360</v>
      </c>
      <c r="R3" t="str">
        <f>VLOOKUP(E3,Products!$A:$F,2,FALSE)</f>
        <v>Standing Desk</v>
      </c>
    </row>
    <row r="4" spans="1:21" ht="15" customHeight="1" x14ac:dyDescent="0.3">
      <c r="A4" s="6" t="s">
        <v>77</v>
      </c>
      <c r="B4" s="6" t="s">
        <v>78</v>
      </c>
      <c r="C4" s="6" t="s">
        <v>79</v>
      </c>
      <c r="D4" s="6" t="s">
        <v>80</v>
      </c>
      <c r="E4" s="6" t="s">
        <v>81</v>
      </c>
      <c r="F4" s="6">
        <v>8</v>
      </c>
      <c r="G4" s="6">
        <v>75.5</v>
      </c>
      <c r="H4" s="6" t="s">
        <v>82</v>
      </c>
      <c r="I4" s="6"/>
      <c r="J4">
        <v>604</v>
      </c>
      <c r="K4">
        <v>604</v>
      </c>
      <c r="L4" t="str">
        <v>carol white</v>
      </c>
      <c r="M4" t="str">
        <v>CAROL WHITE</v>
      </c>
      <c r="N4" t="str">
        <f t="shared" si="0"/>
        <v>Small</v>
      </c>
      <c r="O4" t="str">
        <f t="shared" si="1"/>
        <v>Medium</v>
      </c>
      <c r="P4">
        <f t="shared" si="2"/>
        <v>8</v>
      </c>
      <c r="Q4">
        <f t="shared" si="3"/>
        <v>226.5</v>
      </c>
      <c r="R4" t="str">
        <f>VLOOKUP(E4,Products!$A:$F,2,FALSE)</f>
        <v>Ergonomic Chair</v>
      </c>
    </row>
    <row r="5" spans="1:21" ht="15" customHeight="1" x14ac:dyDescent="0.3">
      <c r="A5" s="7" t="s">
        <v>83</v>
      </c>
      <c r="B5" s="7" t="s">
        <v>84</v>
      </c>
      <c r="C5" s="7" t="s">
        <v>85</v>
      </c>
      <c r="D5" s="7" t="s">
        <v>86</v>
      </c>
      <c r="E5" s="7" t="s">
        <v>68</v>
      </c>
      <c r="F5" s="7">
        <v>12</v>
      </c>
      <c r="G5" s="7">
        <v>49.99</v>
      </c>
      <c r="H5" s="7" t="s">
        <v>69</v>
      </c>
      <c r="I5" s="7"/>
      <c r="J5">
        <v>599.88</v>
      </c>
      <c r="K5">
        <v>599.88</v>
      </c>
      <c r="L5" t="str">
        <v>David Lee</v>
      </c>
      <c r="M5" t="str">
        <v>DAVID LEE</v>
      </c>
      <c r="N5" t="str">
        <f t="shared" si="0"/>
        <v>Large</v>
      </c>
      <c r="O5" t="str">
        <f t="shared" si="1"/>
        <v>Large</v>
      </c>
      <c r="P5">
        <f t="shared" si="2"/>
        <v>12</v>
      </c>
      <c r="Q5">
        <f t="shared" si="3"/>
        <v>149.97</v>
      </c>
      <c r="R5" t="str">
        <f>VLOOKUP(E5,Products!$A:$F,2,FALSE)</f>
        <v>Wireless Headphones</v>
      </c>
    </row>
    <row r="6" spans="1:21" ht="15" customHeight="1" x14ac:dyDescent="0.3">
      <c r="A6" s="6" t="s">
        <v>87</v>
      </c>
      <c r="B6" s="6" t="s">
        <v>88</v>
      </c>
      <c r="C6" s="6" t="s">
        <v>89</v>
      </c>
      <c r="D6" s="6" t="s">
        <v>67</v>
      </c>
      <c r="E6" s="6" t="s">
        <v>90</v>
      </c>
      <c r="F6" s="6">
        <v>3</v>
      </c>
      <c r="G6" s="6">
        <v>200</v>
      </c>
      <c r="H6" s="6" t="s">
        <v>91</v>
      </c>
      <c r="I6" s="6" t="s">
        <v>92</v>
      </c>
      <c r="J6">
        <v>600</v>
      </c>
      <c r="K6">
        <v>600</v>
      </c>
      <c r="L6" t="str">
        <v>Emma Brown</v>
      </c>
      <c r="M6" t="str">
        <v>EMMA BROWN</v>
      </c>
      <c r="N6" t="str">
        <f t="shared" si="0"/>
        <v>Small</v>
      </c>
      <c r="O6" t="str">
        <f t="shared" si="1"/>
        <v>Small</v>
      </c>
      <c r="P6">
        <f t="shared" si="2"/>
        <v>3</v>
      </c>
      <c r="Q6">
        <f t="shared" si="3"/>
        <v>600</v>
      </c>
      <c r="R6" t="str">
        <f>VLOOKUP(E6,Products!$A:$F,2,FALSE)</f>
        <v>4K Monitor</v>
      </c>
    </row>
    <row r="7" spans="1:21" ht="15" customHeight="1" x14ac:dyDescent="0.3">
      <c r="A7" s="7" t="s">
        <v>93</v>
      </c>
      <c r="B7" s="7" t="s">
        <v>94</v>
      </c>
      <c r="C7" s="7" t="s">
        <v>95</v>
      </c>
      <c r="D7" s="7" t="s">
        <v>96</v>
      </c>
      <c r="E7" s="7" t="s">
        <v>74</v>
      </c>
      <c r="F7" s="7" t="s">
        <v>97</v>
      </c>
      <c r="G7" s="8">
        <v>120</v>
      </c>
      <c r="H7" s="7" t="s">
        <v>98</v>
      </c>
      <c r="I7" s="7"/>
      <c r="J7">
        <v>840</v>
      </c>
      <c r="K7">
        <v>840</v>
      </c>
      <c r="L7" t="str">
        <v>FRANK MILLER</v>
      </c>
      <c r="M7" t="str">
        <v>FRANK MILLER</v>
      </c>
      <c r="N7" t="str">
        <f t="shared" si="0"/>
        <v>Large</v>
      </c>
      <c r="O7" t="str">
        <f t="shared" si="1"/>
        <v>Large</v>
      </c>
      <c r="P7">
        <f t="shared" si="2"/>
        <v>7</v>
      </c>
      <c r="Q7">
        <f t="shared" si="3"/>
        <v>360</v>
      </c>
      <c r="R7" t="str">
        <f>VLOOKUP(E7,Products!$A:$F,2,FALSE)</f>
        <v>Standing Desk</v>
      </c>
    </row>
    <row r="8" spans="1:21" ht="57.6" x14ac:dyDescent="0.3">
      <c r="A8" s="6" t="s">
        <v>99</v>
      </c>
      <c r="B8" s="6" t="s">
        <v>100</v>
      </c>
      <c r="C8" s="6" t="s">
        <v>101</v>
      </c>
      <c r="D8" s="6" t="s">
        <v>80</v>
      </c>
      <c r="E8" s="6" t="s">
        <v>81</v>
      </c>
      <c r="F8" s="6">
        <v>6</v>
      </c>
      <c r="G8" s="6">
        <v>75.5</v>
      </c>
      <c r="H8" s="6" t="s">
        <v>82</v>
      </c>
      <c r="I8" s="6"/>
      <c r="J8">
        <v>453</v>
      </c>
      <c r="K8">
        <v>453</v>
      </c>
      <c r="L8" t="str">
        <v>Grace Kim</v>
      </c>
      <c r="M8" t="str">
        <v>GRACE KIM</v>
      </c>
      <c r="N8" t="str">
        <f t="shared" si="0"/>
        <v>Small</v>
      </c>
      <c r="O8" t="str">
        <f t="shared" si="1"/>
        <v>Medium</v>
      </c>
      <c r="P8">
        <f t="shared" si="2"/>
        <v>6</v>
      </c>
      <c r="Q8">
        <f t="shared" si="3"/>
        <v>226.5</v>
      </c>
      <c r="R8" t="str">
        <f>VLOOKUP(E8,Products!$A:$F,2,FALSE)</f>
        <v>Ergonomic Chair</v>
      </c>
      <c r="U8" s="38" t="s">
        <v>258</v>
      </c>
    </row>
    <row r="9" spans="1:21" ht="15" customHeight="1" x14ac:dyDescent="0.3">
      <c r="A9" s="7" t="s">
        <v>102</v>
      </c>
      <c r="B9" s="7" t="s">
        <v>103</v>
      </c>
      <c r="C9" s="7" t="s">
        <v>104</v>
      </c>
      <c r="D9" s="7" t="s">
        <v>86</v>
      </c>
      <c r="E9" s="7" t="s">
        <v>105</v>
      </c>
      <c r="F9" s="7">
        <v>15</v>
      </c>
      <c r="G9" s="7">
        <v>35</v>
      </c>
      <c r="H9" s="7" t="s">
        <v>75</v>
      </c>
      <c r="I9" s="7"/>
      <c r="J9">
        <v>525</v>
      </c>
      <c r="K9">
        <v>525</v>
      </c>
      <c r="L9" t="str">
        <v>henry jones</v>
      </c>
      <c r="M9" t="str">
        <v>HENRY JONES</v>
      </c>
      <c r="N9" t="str">
        <f t="shared" si="0"/>
        <v>Large</v>
      </c>
      <c r="O9" t="str">
        <f t="shared" si="1"/>
        <v>Large</v>
      </c>
      <c r="P9">
        <f t="shared" si="2"/>
        <v>15</v>
      </c>
      <c r="Q9">
        <f t="shared" si="3"/>
        <v>105</v>
      </c>
      <c r="R9" t="str">
        <f>VLOOKUP(E9,Products!$A:$F,2,FALSE)</f>
        <v>USB Hub</v>
      </c>
    </row>
    <row r="10" spans="1:21" ht="15" customHeight="1" x14ac:dyDescent="0.3">
      <c r="A10" s="6" t="s">
        <v>106</v>
      </c>
      <c r="B10" s="6" t="s">
        <v>107</v>
      </c>
      <c r="C10" s="6" t="s">
        <v>108</v>
      </c>
      <c r="D10" s="6" t="s">
        <v>67</v>
      </c>
      <c r="E10" s="6" t="s">
        <v>68</v>
      </c>
      <c r="F10" s="6">
        <v>9</v>
      </c>
      <c r="G10" s="6">
        <v>49.99</v>
      </c>
      <c r="H10" s="6" t="s">
        <v>69</v>
      </c>
      <c r="I10" s="6"/>
      <c r="J10">
        <v>449.91</v>
      </c>
      <c r="K10">
        <v>449.91</v>
      </c>
      <c r="L10" t="str">
        <v>Isabel Tan</v>
      </c>
      <c r="M10" t="str">
        <v>ISABEL TAN</v>
      </c>
      <c r="N10" t="str">
        <f t="shared" si="0"/>
        <v>Small</v>
      </c>
      <c r="O10" t="str">
        <f t="shared" si="1"/>
        <v>Medium</v>
      </c>
      <c r="P10">
        <f t="shared" si="2"/>
        <v>9</v>
      </c>
      <c r="Q10">
        <f t="shared" si="3"/>
        <v>149.97</v>
      </c>
      <c r="R10" t="str">
        <f>VLOOKUP(E10,Products!$A:$F,2,FALSE)</f>
        <v>Wireless Headphones</v>
      </c>
    </row>
    <row r="11" spans="1:21" ht="15" customHeight="1" x14ac:dyDescent="0.3">
      <c r="A11" s="7" t="s">
        <v>109</v>
      </c>
      <c r="B11" s="7" t="s">
        <v>110</v>
      </c>
      <c r="C11" s="7" t="s">
        <v>111</v>
      </c>
      <c r="D11" s="7" t="s">
        <v>73</v>
      </c>
      <c r="E11" s="7" t="s">
        <v>90</v>
      </c>
      <c r="F11" s="7">
        <v>4</v>
      </c>
      <c r="G11" s="7">
        <v>200</v>
      </c>
      <c r="H11" s="7" t="s">
        <v>82</v>
      </c>
      <c r="I11" s="7" t="s">
        <v>112</v>
      </c>
      <c r="J11">
        <v>800</v>
      </c>
      <c r="K11">
        <v>800</v>
      </c>
      <c r="L11" t="str">
        <v>James Wu</v>
      </c>
      <c r="M11" t="str">
        <v>JAMES WU</v>
      </c>
      <c r="N11" t="str">
        <f t="shared" si="0"/>
        <v>Small</v>
      </c>
      <c r="O11" t="str">
        <f t="shared" si="1"/>
        <v>Small</v>
      </c>
      <c r="P11">
        <f t="shared" si="2"/>
        <v>4</v>
      </c>
      <c r="Q11">
        <f t="shared" si="3"/>
        <v>600</v>
      </c>
      <c r="R11" t="str">
        <f>VLOOKUP(E11,Products!$A:$F,2,FALSE)</f>
        <v>4K Monitor</v>
      </c>
    </row>
    <row r="12" spans="1:21" ht="15" customHeight="1" x14ac:dyDescent="0.3">
      <c r="A12" s="6" t="s">
        <v>113</v>
      </c>
      <c r="B12" s="6" t="s">
        <v>114</v>
      </c>
      <c r="C12" s="6" t="s">
        <v>66</v>
      </c>
      <c r="D12" s="6" t="s">
        <v>67</v>
      </c>
      <c r="E12" s="6" t="s">
        <v>68</v>
      </c>
      <c r="F12" s="6">
        <v>10</v>
      </c>
      <c r="G12" s="6">
        <v>49.99</v>
      </c>
      <c r="H12" s="6" t="s">
        <v>69</v>
      </c>
      <c r="I12" s="6"/>
      <c r="J12">
        <v>499.90000000000003</v>
      </c>
      <c r="K12">
        <v>499.90000000000003</v>
      </c>
      <c r="L12" t="str">
        <v>Alice Johnson</v>
      </c>
      <c r="M12" t="str">
        <v>ALICE JOHNSON</v>
      </c>
      <c r="N12" t="str">
        <f t="shared" si="0"/>
        <v>Large</v>
      </c>
      <c r="O12" t="str">
        <f t="shared" si="1"/>
        <v>Large</v>
      </c>
      <c r="P12">
        <f t="shared" si="2"/>
        <v>10</v>
      </c>
      <c r="Q12">
        <f t="shared" si="3"/>
        <v>149.97</v>
      </c>
      <c r="R12" t="str">
        <f>VLOOKUP(E12,Products!$A:$F,2,FALSE)</f>
        <v>Wireless Headphones</v>
      </c>
    </row>
    <row r="13" spans="1:21" ht="15" customHeight="1" x14ac:dyDescent="0.3">
      <c r="A13" s="7" t="s">
        <v>115</v>
      </c>
      <c r="B13" s="7" t="s">
        <v>116</v>
      </c>
      <c r="C13" s="7" t="s">
        <v>117</v>
      </c>
      <c r="D13" s="7" t="s">
        <v>80</v>
      </c>
      <c r="E13" s="7" t="s">
        <v>118</v>
      </c>
      <c r="F13" s="7">
        <v>20</v>
      </c>
      <c r="G13" s="7">
        <v>22</v>
      </c>
      <c r="H13" s="7" t="s">
        <v>75</v>
      </c>
      <c r="I13" s="7"/>
      <c r="J13">
        <v>440</v>
      </c>
      <c r="K13">
        <v>440</v>
      </c>
      <c r="L13" t="str">
        <v>Karen Patel</v>
      </c>
      <c r="M13" t="str">
        <v>KAREN PATEL</v>
      </c>
      <c r="N13" t="str">
        <f t="shared" si="0"/>
        <v>Large</v>
      </c>
      <c r="O13" t="str">
        <f t="shared" si="1"/>
        <v>Large</v>
      </c>
      <c r="P13">
        <f t="shared" si="2"/>
        <v>20</v>
      </c>
      <c r="Q13">
        <f t="shared" si="3"/>
        <v>66</v>
      </c>
      <c r="R13" t="str">
        <f>VLOOKUP(E13,Products!$A:$F,2,FALSE)</f>
        <v>Notebook (A5)</v>
      </c>
    </row>
    <row r="14" spans="1:21" ht="15" customHeight="1" x14ac:dyDescent="0.3">
      <c r="A14" s="6" t="s">
        <v>119</v>
      </c>
      <c r="B14" s="6" t="s">
        <v>120</v>
      </c>
      <c r="C14" s="6" t="s">
        <v>121</v>
      </c>
      <c r="D14" s="6" t="s">
        <v>86</v>
      </c>
      <c r="E14" s="6" t="s">
        <v>74</v>
      </c>
      <c r="F14" s="6">
        <v>8</v>
      </c>
      <c r="G14" s="6">
        <v>120</v>
      </c>
      <c r="H14" s="6" t="s">
        <v>69</v>
      </c>
      <c r="I14" s="6"/>
      <c r="J14">
        <v>960</v>
      </c>
      <c r="K14">
        <v>960</v>
      </c>
      <c r="L14" t="str">
        <v>LIAM CHEN</v>
      </c>
      <c r="M14" t="str">
        <v>LIAM CHEN</v>
      </c>
      <c r="N14" t="str">
        <f t="shared" si="0"/>
        <v>Small</v>
      </c>
      <c r="O14" t="str">
        <f t="shared" si="1"/>
        <v>Medium</v>
      </c>
      <c r="P14">
        <f t="shared" si="2"/>
        <v>8</v>
      </c>
      <c r="Q14">
        <f t="shared" si="3"/>
        <v>360</v>
      </c>
      <c r="R14" t="str">
        <f>VLOOKUP(E14,Products!$A:$F,2,FALSE)</f>
        <v>Standing Desk</v>
      </c>
    </row>
    <row r="15" spans="1:21" ht="15" customHeight="1" x14ac:dyDescent="0.3">
      <c r="A15" s="7" t="s">
        <v>122</v>
      </c>
      <c r="B15" s="7" t="s">
        <v>123</v>
      </c>
      <c r="C15" s="7" t="s">
        <v>124</v>
      </c>
      <c r="D15" s="7" t="s">
        <v>67</v>
      </c>
      <c r="E15" s="7" t="s">
        <v>81</v>
      </c>
      <c r="F15" s="7">
        <v>11</v>
      </c>
      <c r="G15" s="7">
        <v>75.5</v>
      </c>
      <c r="H15" s="7" t="s">
        <v>82</v>
      </c>
      <c r="I15" s="7"/>
      <c r="J15">
        <v>830.5</v>
      </c>
      <c r="K15">
        <v>830.5</v>
      </c>
      <c r="L15" t="str">
        <v>Mia Russo</v>
      </c>
      <c r="M15" t="str">
        <v>MIA RUSSO</v>
      </c>
      <c r="N15" t="str">
        <f t="shared" si="0"/>
        <v>Large</v>
      </c>
      <c r="O15" t="str">
        <f t="shared" si="1"/>
        <v>Large</v>
      </c>
      <c r="P15">
        <f t="shared" si="2"/>
        <v>11</v>
      </c>
      <c r="Q15">
        <f t="shared" si="3"/>
        <v>226.5</v>
      </c>
      <c r="R15" t="str">
        <f>VLOOKUP(E15,Products!$A:$F,2,FALSE)</f>
        <v>Ergonomic Chair</v>
      </c>
    </row>
    <row r="16" spans="1:21" ht="15" customHeight="1" x14ac:dyDescent="0.3">
      <c r="A16" s="6" t="s">
        <v>125</v>
      </c>
      <c r="B16" s="6" t="s">
        <v>126</v>
      </c>
      <c r="C16" s="6" t="s">
        <v>127</v>
      </c>
      <c r="D16" s="6" t="s">
        <v>73</v>
      </c>
      <c r="E16" s="6" t="s">
        <v>105</v>
      </c>
      <c r="F16" s="6">
        <v>6</v>
      </c>
      <c r="G16" s="6">
        <v>35</v>
      </c>
      <c r="H16" s="6" t="s">
        <v>91</v>
      </c>
      <c r="I16" s="6" t="s">
        <v>128</v>
      </c>
      <c r="J16">
        <v>210</v>
      </c>
      <c r="K16">
        <v>210</v>
      </c>
      <c r="L16" t="str">
        <v>noah kim</v>
      </c>
      <c r="M16" t="str">
        <v>NOAH KIM</v>
      </c>
      <c r="N16" t="str">
        <f t="shared" si="0"/>
        <v>Small</v>
      </c>
      <c r="O16" t="str">
        <f t="shared" si="1"/>
        <v>Medium</v>
      </c>
      <c r="P16">
        <f t="shared" si="2"/>
        <v>6</v>
      </c>
      <c r="Q16">
        <f t="shared" si="3"/>
        <v>105</v>
      </c>
      <c r="R16" t="str">
        <f>VLOOKUP(E16,Products!$A:$F,2,FALSE)</f>
        <v>USB Hub</v>
      </c>
    </row>
    <row r="17" spans="1:18" ht="15" customHeight="1" x14ac:dyDescent="0.3">
      <c r="A17" s="7" t="s">
        <v>129</v>
      </c>
      <c r="B17" s="7" t="s">
        <v>130</v>
      </c>
      <c r="C17" s="7" t="s">
        <v>131</v>
      </c>
      <c r="D17" s="7" t="s">
        <v>80</v>
      </c>
      <c r="E17" s="7" t="s">
        <v>90</v>
      </c>
      <c r="F17" s="7">
        <v>7</v>
      </c>
      <c r="G17" s="7">
        <v>200</v>
      </c>
      <c r="H17" s="7" t="s">
        <v>69</v>
      </c>
      <c r="I17" s="7"/>
      <c r="J17">
        <v>1400</v>
      </c>
      <c r="K17">
        <v>1400</v>
      </c>
      <c r="L17" t="str">
        <v>Olivia Park</v>
      </c>
      <c r="M17" t="str">
        <v>OLIVIA PARK</v>
      </c>
      <c r="N17" t="str">
        <f t="shared" si="0"/>
        <v>Small</v>
      </c>
      <c r="O17" t="str">
        <f t="shared" si="1"/>
        <v>Medium</v>
      </c>
      <c r="P17">
        <f t="shared" si="2"/>
        <v>7</v>
      </c>
      <c r="Q17">
        <f t="shared" si="3"/>
        <v>600</v>
      </c>
      <c r="R17" t="str">
        <f>VLOOKUP(E17,Products!$A:$F,2,FALSE)</f>
        <v>4K Monitor</v>
      </c>
    </row>
    <row r="18" spans="1:18" ht="15" customHeight="1" x14ac:dyDescent="0.3">
      <c r="A18" s="6" t="s">
        <v>132</v>
      </c>
      <c r="B18" s="6" t="s">
        <v>133</v>
      </c>
      <c r="C18" s="6" t="s">
        <v>134</v>
      </c>
      <c r="D18" s="6" t="s">
        <v>86</v>
      </c>
      <c r="E18" s="6" t="s">
        <v>118</v>
      </c>
      <c r="F18" s="6">
        <v>25</v>
      </c>
      <c r="G18" s="6">
        <v>22</v>
      </c>
      <c r="H18" s="6" t="s">
        <v>75</v>
      </c>
      <c r="I18" s="6"/>
      <c r="J18">
        <v>550</v>
      </c>
      <c r="K18">
        <v>550</v>
      </c>
      <c r="L18" t="str">
        <v>Peter Grant</v>
      </c>
      <c r="M18" t="str">
        <v>PETER GRANT</v>
      </c>
      <c r="N18" t="str">
        <f t="shared" si="0"/>
        <v>Large</v>
      </c>
      <c r="O18" t="str">
        <f t="shared" si="1"/>
        <v>Large</v>
      </c>
      <c r="P18">
        <f t="shared" si="2"/>
        <v>25</v>
      </c>
      <c r="Q18">
        <f t="shared" si="3"/>
        <v>66</v>
      </c>
      <c r="R18" t="str">
        <f>VLOOKUP(E18,Products!$A:$F,2,FALSE)</f>
        <v>Notebook (A5)</v>
      </c>
    </row>
    <row r="19" spans="1:18" ht="15" customHeight="1" x14ac:dyDescent="0.3">
      <c r="A19" s="7" t="s">
        <v>135</v>
      </c>
      <c r="B19" s="7" t="s">
        <v>136</v>
      </c>
      <c r="C19" s="7" t="s">
        <v>137</v>
      </c>
      <c r="D19" s="7" t="s">
        <v>67</v>
      </c>
      <c r="E19" s="7" t="s">
        <v>68</v>
      </c>
      <c r="F19" s="7">
        <v>5</v>
      </c>
      <c r="G19" s="8">
        <v>49.99</v>
      </c>
      <c r="H19" s="7" t="s">
        <v>82</v>
      </c>
      <c r="I19" s="7"/>
      <c r="J19">
        <v>249.95000000000002</v>
      </c>
      <c r="K19">
        <v>249.95000000000002</v>
      </c>
      <c r="L19" t="str">
        <v>Quinn Adams</v>
      </c>
      <c r="M19" t="str">
        <v>QUINN ADAMS</v>
      </c>
      <c r="N19" t="str">
        <f t="shared" si="0"/>
        <v>Small</v>
      </c>
      <c r="O19" t="str">
        <f t="shared" si="1"/>
        <v>Medium</v>
      </c>
      <c r="P19">
        <f t="shared" si="2"/>
        <v>5</v>
      </c>
      <c r="Q19">
        <f t="shared" si="3"/>
        <v>149.97</v>
      </c>
      <c r="R19" t="str">
        <f>VLOOKUP(E19,Products!$A:$F,2,FALSE)</f>
        <v>Wireless Headphones</v>
      </c>
    </row>
    <row r="20" spans="1:18" ht="15" customHeight="1" x14ac:dyDescent="0.3">
      <c r="A20" s="6" t="s">
        <v>138</v>
      </c>
      <c r="B20" s="6" t="s">
        <v>139</v>
      </c>
      <c r="C20" s="6" t="s">
        <v>140</v>
      </c>
      <c r="D20" s="6" t="s">
        <v>73</v>
      </c>
      <c r="E20" s="6" t="s">
        <v>74</v>
      </c>
      <c r="F20" s="6">
        <v>14</v>
      </c>
      <c r="G20" s="6">
        <v>120</v>
      </c>
      <c r="H20" s="6" t="s">
        <v>69</v>
      </c>
      <c r="I20" s="6"/>
      <c r="J20">
        <v>1680</v>
      </c>
      <c r="K20">
        <v>1680</v>
      </c>
      <c r="L20" t="str">
        <v>Rachel Scott</v>
      </c>
      <c r="M20" t="str">
        <v>RACHEL SCOTT</v>
      </c>
      <c r="N20" t="str">
        <f t="shared" si="0"/>
        <v>Large</v>
      </c>
      <c r="O20" t="str">
        <f t="shared" si="1"/>
        <v>Large</v>
      </c>
      <c r="P20">
        <f t="shared" si="2"/>
        <v>14</v>
      </c>
      <c r="Q20">
        <f t="shared" si="3"/>
        <v>360</v>
      </c>
      <c r="R20" t="str">
        <f>VLOOKUP(E20,Products!$A:$F,2,FALSE)</f>
        <v>Standing Desk</v>
      </c>
    </row>
    <row r="21" spans="1:18" ht="15" customHeight="1" x14ac:dyDescent="0.3">
      <c r="A21" s="7" t="s">
        <v>141</v>
      </c>
      <c r="B21" s="7" t="s">
        <v>142</v>
      </c>
      <c r="C21" s="7" t="s">
        <v>143</v>
      </c>
      <c r="D21" s="7" t="s">
        <v>80</v>
      </c>
      <c r="E21" s="7" t="s">
        <v>81</v>
      </c>
      <c r="F21" s="7">
        <v>9</v>
      </c>
      <c r="G21" s="7">
        <v>75.5</v>
      </c>
      <c r="H21" s="7" t="s">
        <v>82</v>
      </c>
      <c r="I21" s="7"/>
      <c r="J21">
        <v>679.5</v>
      </c>
      <c r="K21">
        <v>679.5</v>
      </c>
      <c r="L21" t="str">
        <v>Sam Torres</v>
      </c>
      <c r="M21" t="str">
        <v>SAM TORRES</v>
      </c>
      <c r="N21" t="str">
        <f t="shared" si="0"/>
        <v>Small</v>
      </c>
      <c r="O21" t="str">
        <f t="shared" si="1"/>
        <v>Medium</v>
      </c>
      <c r="P21">
        <f t="shared" si="2"/>
        <v>9</v>
      </c>
      <c r="Q21">
        <f t="shared" si="3"/>
        <v>226.5</v>
      </c>
      <c r="R21" t="str">
        <f>VLOOKUP(E21,Products!$A:$F,2,FALSE)</f>
        <v>Ergonomic Chair</v>
      </c>
    </row>
    <row r="22" spans="1:18" ht="15" customHeight="1" x14ac:dyDescent="0.3">
      <c r="A22" s="6" t="s">
        <v>144</v>
      </c>
      <c r="B22" s="6" t="s">
        <v>145</v>
      </c>
      <c r="C22" s="6" t="s">
        <v>146</v>
      </c>
      <c r="D22" s="6" t="s">
        <v>86</v>
      </c>
      <c r="E22" s="6" t="s">
        <v>105</v>
      </c>
      <c r="F22" s="6">
        <v>3</v>
      </c>
      <c r="G22" s="6">
        <v>35</v>
      </c>
      <c r="H22" s="6" t="s">
        <v>75</v>
      </c>
      <c r="I22" s="6"/>
      <c r="J22">
        <v>105</v>
      </c>
      <c r="K22">
        <v>105</v>
      </c>
      <c r="L22" t="str">
        <v>Tina Bell</v>
      </c>
      <c r="M22" t="str">
        <v>TINA BELL</v>
      </c>
      <c r="N22" t="str">
        <f t="shared" si="0"/>
        <v>Small</v>
      </c>
      <c r="O22" t="str">
        <f t="shared" si="1"/>
        <v>Small</v>
      </c>
      <c r="P22">
        <f t="shared" si="2"/>
        <v>3</v>
      </c>
      <c r="Q22">
        <f t="shared" si="3"/>
        <v>105</v>
      </c>
      <c r="R22" t="str">
        <f>VLOOKUP(E22,Products!$A:$F,2,FALSE)</f>
        <v>USB Hub</v>
      </c>
    </row>
    <row r="23" spans="1:18" ht="15" customHeight="1" x14ac:dyDescent="0.3">
      <c r="A23" s="7" t="s">
        <v>147</v>
      </c>
      <c r="B23" s="7" t="s">
        <v>148</v>
      </c>
      <c r="C23" s="7" t="s">
        <v>149</v>
      </c>
      <c r="D23" s="7" t="s">
        <v>67</v>
      </c>
      <c r="E23" s="7" t="s">
        <v>90</v>
      </c>
      <c r="F23" s="7">
        <v>6</v>
      </c>
      <c r="G23" s="7">
        <v>200</v>
      </c>
      <c r="H23" s="7" t="s">
        <v>69</v>
      </c>
      <c r="I23" s="7"/>
      <c r="J23">
        <v>1200</v>
      </c>
      <c r="K23">
        <v>1200</v>
      </c>
      <c r="L23" t="str">
        <v>Uma Singh</v>
      </c>
      <c r="M23" t="str">
        <v>UMA SINGH</v>
      </c>
      <c r="N23" t="str">
        <f t="shared" si="0"/>
        <v>Small</v>
      </c>
      <c r="O23" t="str">
        <f t="shared" si="1"/>
        <v>Medium</v>
      </c>
      <c r="P23">
        <f t="shared" si="2"/>
        <v>6</v>
      </c>
      <c r="Q23">
        <f t="shared" si="3"/>
        <v>600</v>
      </c>
      <c r="R23" t="str">
        <f>VLOOKUP(E23,Products!$A:$F,2,FALSE)</f>
        <v>4K Monitor</v>
      </c>
    </row>
    <row r="24" spans="1:18" ht="15" customHeight="1" x14ac:dyDescent="0.3">
      <c r="A24" s="6" t="s">
        <v>150</v>
      </c>
      <c r="B24" s="6" t="s">
        <v>151</v>
      </c>
      <c r="C24" s="6" t="s">
        <v>152</v>
      </c>
      <c r="D24" s="6" t="s">
        <v>73</v>
      </c>
      <c r="E24" s="6" t="s">
        <v>118</v>
      </c>
      <c r="F24" s="6">
        <v>18</v>
      </c>
      <c r="G24" s="6">
        <v>22</v>
      </c>
      <c r="H24" s="6" t="s">
        <v>91</v>
      </c>
      <c r="I24" s="6"/>
      <c r="J24">
        <v>396</v>
      </c>
      <c r="K24">
        <v>396</v>
      </c>
      <c r="L24" t="str">
        <v>Victor Ng</v>
      </c>
      <c r="M24" t="str">
        <v>VICTOR NG</v>
      </c>
      <c r="N24" t="str">
        <f t="shared" si="0"/>
        <v>Large</v>
      </c>
      <c r="O24" t="str">
        <f t="shared" si="1"/>
        <v>Large</v>
      </c>
      <c r="P24">
        <f t="shared" si="2"/>
        <v>18</v>
      </c>
      <c r="Q24">
        <f t="shared" si="3"/>
        <v>66</v>
      </c>
      <c r="R24" t="str">
        <f>VLOOKUP(E24,Products!$A:$F,2,FALSE)</f>
        <v>Notebook (A5)</v>
      </c>
    </row>
    <row r="25" spans="1:18" ht="15" customHeight="1" x14ac:dyDescent="0.3">
      <c r="A25" s="7" t="s">
        <v>153</v>
      </c>
      <c r="B25" s="7" t="s">
        <v>154</v>
      </c>
      <c r="C25" s="7" t="s">
        <v>155</v>
      </c>
      <c r="D25" s="7" t="s">
        <v>80</v>
      </c>
      <c r="E25" s="7" t="s">
        <v>68</v>
      </c>
      <c r="F25" s="7">
        <v>7</v>
      </c>
      <c r="G25" s="7">
        <v>49.99</v>
      </c>
      <c r="H25" s="7" t="s">
        <v>82</v>
      </c>
      <c r="I25" s="7"/>
      <c r="J25">
        <v>349.93</v>
      </c>
      <c r="K25">
        <v>349.93</v>
      </c>
      <c r="L25" t="str">
        <v>Wendy Fox</v>
      </c>
      <c r="M25" t="str">
        <v>WENDY FOX</v>
      </c>
      <c r="N25" t="str">
        <f t="shared" si="0"/>
        <v>Small</v>
      </c>
      <c r="O25" t="str">
        <f t="shared" si="1"/>
        <v>Medium</v>
      </c>
      <c r="P25">
        <f t="shared" si="2"/>
        <v>7</v>
      </c>
      <c r="Q25">
        <f t="shared" si="3"/>
        <v>149.97</v>
      </c>
      <c r="R25" t="str">
        <f>VLOOKUP(E25,Products!$A:$F,2,FALSE)</f>
        <v>Wireless Headphones</v>
      </c>
    </row>
    <row r="26" spans="1:18" ht="15" customHeight="1" x14ac:dyDescent="0.3">
      <c r="A26" s="6" t="s">
        <v>156</v>
      </c>
      <c r="B26" s="6" t="s">
        <v>157</v>
      </c>
      <c r="C26" s="6" t="s">
        <v>158</v>
      </c>
      <c r="D26" s="6" t="s">
        <v>86</v>
      </c>
      <c r="E26" s="6" t="s">
        <v>74</v>
      </c>
      <c r="F26" s="6">
        <v>10</v>
      </c>
      <c r="G26" s="6">
        <v>120</v>
      </c>
      <c r="H26" s="6" t="s">
        <v>69</v>
      </c>
      <c r="I26" s="6"/>
      <c r="J26">
        <v>1200</v>
      </c>
      <c r="K26">
        <v>1200</v>
      </c>
      <c r="L26" t="str">
        <v>XANDER HILL</v>
      </c>
      <c r="M26" t="str">
        <v>XANDER HILL</v>
      </c>
      <c r="N26" t="str">
        <f t="shared" si="0"/>
        <v>Large</v>
      </c>
      <c r="O26" t="str">
        <f t="shared" si="1"/>
        <v>Large</v>
      </c>
      <c r="P26">
        <f t="shared" si="2"/>
        <v>10</v>
      </c>
      <c r="Q26">
        <f t="shared" si="3"/>
        <v>360</v>
      </c>
      <c r="R26" t="str">
        <f>VLOOKUP(E26,Products!$A:$F,2,FALSE)</f>
        <v>Standing Desk</v>
      </c>
    </row>
    <row r="27" spans="1:18" ht="15" customHeight="1" x14ac:dyDescent="0.3">
      <c r="A27" s="7" t="s">
        <v>159</v>
      </c>
      <c r="B27" s="7" t="s">
        <v>160</v>
      </c>
      <c r="C27" s="7" t="s">
        <v>161</v>
      </c>
      <c r="D27" s="7" t="s">
        <v>67</v>
      </c>
      <c r="E27" s="7" t="s">
        <v>81</v>
      </c>
      <c r="F27" s="7">
        <v>4</v>
      </c>
      <c r="G27" s="7">
        <v>75.5</v>
      </c>
      <c r="H27" s="7" t="s">
        <v>75</v>
      </c>
      <c r="I27" s="7"/>
      <c r="J27">
        <v>302</v>
      </c>
      <c r="K27">
        <v>302</v>
      </c>
      <c r="L27" t="str">
        <v>Yara Osei</v>
      </c>
      <c r="M27" t="str">
        <v>YARA OSEI</v>
      </c>
      <c r="N27" t="str">
        <f t="shared" si="0"/>
        <v>Small</v>
      </c>
      <c r="O27" t="str">
        <f t="shared" si="1"/>
        <v>Small</v>
      </c>
      <c r="P27">
        <f t="shared" si="2"/>
        <v>4</v>
      </c>
      <c r="Q27">
        <f t="shared" si="3"/>
        <v>226.5</v>
      </c>
      <c r="R27" t="str">
        <f>VLOOKUP(E27,Products!$A:$F,2,FALSE)</f>
        <v>Ergonomic Chair</v>
      </c>
    </row>
    <row r="28" spans="1:18" ht="15" customHeight="1" x14ac:dyDescent="0.3">
      <c r="A28" s="6" t="s">
        <v>162</v>
      </c>
      <c r="B28" s="6" t="s">
        <v>163</v>
      </c>
      <c r="C28" s="6" t="s">
        <v>164</v>
      </c>
      <c r="D28" s="6" t="s">
        <v>73</v>
      </c>
      <c r="E28" s="6" t="s">
        <v>90</v>
      </c>
      <c r="F28" s="6">
        <v>8</v>
      </c>
      <c r="G28" s="6">
        <v>200</v>
      </c>
      <c r="H28" s="6" t="s">
        <v>82</v>
      </c>
      <c r="I28" s="6"/>
      <c r="J28">
        <v>1600</v>
      </c>
      <c r="K28">
        <v>1600</v>
      </c>
      <c r="L28" t="str">
        <v>Zoe Clark</v>
      </c>
      <c r="M28" t="str">
        <v>ZOE CLARK</v>
      </c>
      <c r="N28" t="str">
        <f t="shared" si="0"/>
        <v>Small</v>
      </c>
      <c r="O28" t="str">
        <f t="shared" si="1"/>
        <v>Medium</v>
      </c>
      <c r="P28">
        <f t="shared" si="2"/>
        <v>8</v>
      </c>
      <c r="Q28">
        <f t="shared" si="3"/>
        <v>600</v>
      </c>
      <c r="R28" t="str">
        <f>VLOOKUP(E28,Products!$A:$F,2,FALSE)</f>
        <v>4K Monitor</v>
      </c>
    </row>
    <row r="29" spans="1:18" ht="15" customHeight="1" x14ac:dyDescent="0.3">
      <c r="A29" s="7" t="s">
        <v>165</v>
      </c>
      <c r="B29" s="7" t="s">
        <v>166</v>
      </c>
      <c r="C29" s="7" t="s">
        <v>167</v>
      </c>
      <c r="D29" s="7" t="s">
        <v>67</v>
      </c>
      <c r="E29" s="7" t="s">
        <v>105</v>
      </c>
      <c r="F29" s="7">
        <v>12</v>
      </c>
      <c r="G29" s="7">
        <v>35</v>
      </c>
      <c r="H29" s="7" t="s">
        <v>69</v>
      </c>
      <c r="I29" s="7"/>
      <c r="J29">
        <v>420</v>
      </c>
      <c r="K29">
        <v>420</v>
      </c>
      <c r="L29" t="str">
        <v>Alice Johnson</v>
      </c>
      <c r="M29" t="str">
        <v>ALICE JOHNSON</v>
      </c>
      <c r="N29" t="str">
        <f>IF(F29&gt;=10,"Large","Small")</f>
        <v>Large</v>
      </c>
      <c r="O29" t="str">
        <f t="shared" si="1"/>
        <v>Large</v>
      </c>
      <c r="P29">
        <f t="shared" si="2"/>
        <v>12</v>
      </c>
      <c r="Q29">
        <f t="shared" si="3"/>
        <v>105</v>
      </c>
      <c r="R29" t="str">
        <f>VLOOKUP(E29,Products!$A:$F,2,FALSE)</f>
        <v>USB Hub</v>
      </c>
    </row>
    <row r="30" spans="1:18" ht="15" customHeight="1" x14ac:dyDescent="0.3">
      <c r="A30" s="6" t="s">
        <v>168</v>
      </c>
      <c r="B30" s="6" t="s">
        <v>169</v>
      </c>
      <c r="C30" s="6" t="s">
        <v>170</v>
      </c>
      <c r="D30" s="6" t="s">
        <v>73</v>
      </c>
      <c r="E30" s="6" t="s">
        <v>118</v>
      </c>
      <c r="F30" s="6">
        <v>6</v>
      </c>
      <c r="G30" s="6">
        <v>22</v>
      </c>
      <c r="H30" s="6" t="s">
        <v>75</v>
      </c>
      <c r="I30" s="6"/>
      <c r="J30">
        <v>132</v>
      </c>
      <c r="K30">
        <v>132</v>
      </c>
      <c r="L30" t="str">
        <v>bob smith</v>
      </c>
      <c r="M30" t="str">
        <v>BOB SMITH</v>
      </c>
      <c r="N30" t="str">
        <f t="shared" si="0"/>
        <v>Small</v>
      </c>
      <c r="O30" t="str">
        <f t="shared" si="1"/>
        <v>Medium</v>
      </c>
      <c r="P30">
        <f t="shared" si="2"/>
        <v>6</v>
      </c>
      <c r="Q30">
        <f t="shared" si="3"/>
        <v>66</v>
      </c>
      <c r="R30" t="str">
        <f>VLOOKUP(E30,Products!$A:$F,2,FALSE)</f>
        <v>Notebook (A5)</v>
      </c>
    </row>
    <row r="31" spans="1:18" ht="15" customHeight="1" x14ac:dyDescent="0.3">
      <c r="A31" s="7" t="s">
        <v>171</v>
      </c>
      <c r="B31" s="7" t="s">
        <v>172</v>
      </c>
      <c r="C31" s="7" t="s">
        <v>173</v>
      </c>
      <c r="D31" s="7" t="s">
        <v>80</v>
      </c>
      <c r="E31" s="7" t="s">
        <v>68</v>
      </c>
      <c r="F31" s="7">
        <v>5</v>
      </c>
      <c r="G31" s="7">
        <v>49.99</v>
      </c>
      <c r="H31" s="7" t="s">
        <v>82</v>
      </c>
      <c r="I31" s="7"/>
      <c r="J31">
        <v>249.95000000000002</v>
      </c>
      <c r="K31">
        <v>249.95000000000002</v>
      </c>
      <c r="L31" t="str">
        <v>Carol White</v>
      </c>
      <c r="M31" t="str">
        <v>CAROL WHITE</v>
      </c>
      <c r="N31" t="str">
        <f t="shared" si="0"/>
        <v>Small</v>
      </c>
      <c r="O31" t="str">
        <f t="shared" si="1"/>
        <v>Medium</v>
      </c>
      <c r="P31">
        <f t="shared" si="2"/>
        <v>5</v>
      </c>
      <c r="Q31">
        <f t="shared" si="3"/>
        <v>149.97</v>
      </c>
      <c r="R31" t="str">
        <f>VLOOKUP(E31,Products!$A:$F,2,FALSE)</f>
        <v>Wireless Headphones</v>
      </c>
    </row>
    <row r="34" spans="1:2" x14ac:dyDescent="0.3">
      <c r="A34" s="24" t="s">
        <v>230</v>
      </c>
      <c r="B34" s="24">
        <f>COUNTA(A2:A31)</f>
        <v>30</v>
      </c>
    </row>
    <row r="35" spans="1:2" x14ac:dyDescent="0.3">
      <c r="A35" s="24" t="s">
        <v>247</v>
      </c>
      <c r="B35" s="24">
        <f>MAX(F2:F31)</f>
        <v>25</v>
      </c>
    </row>
    <row r="36" spans="1:2" x14ac:dyDescent="0.3">
      <c r="A36" s="24" t="s">
        <v>248</v>
      </c>
      <c r="B36" s="24">
        <f>MIN(F2:F31)</f>
        <v>3</v>
      </c>
    </row>
    <row r="37" spans="1:2" x14ac:dyDescent="0.3">
      <c r="A37" s="36" t="s">
        <v>250</v>
      </c>
      <c r="B37" s="37">
        <f>COUNTIF(H2:H31,"Shipped")</f>
        <v>11</v>
      </c>
    </row>
  </sheetData>
  <autoFilter ref="A1:K31" xr:uid="{00000000-0001-0000-0100-000000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zoomScaleNormal="100" workbookViewId="0">
      <pane ySplit="1" topLeftCell="A2" activePane="bottomLeft" state="frozen"/>
      <selection pane="bottomLeft" activeCell="E7" sqref="E7"/>
    </sheetView>
  </sheetViews>
  <sheetFormatPr defaultColWidth="8.6640625" defaultRowHeight="14.4" x14ac:dyDescent="0.3"/>
  <cols>
    <col min="1" max="1" width="12" customWidth="1"/>
    <col min="2" max="2" width="24" customWidth="1"/>
    <col min="3" max="3" width="14" customWidth="1"/>
    <col min="4" max="5" width="12" customWidth="1"/>
    <col min="6" max="6" width="20" customWidth="1"/>
  </cols>
  <sheetData>
    <row r="1" spans="1:6" ht="27.75" customHeight="1" x14ac:dyDescent="0.3">
      <c r="A1" s="9" t="s">
        <v>59</v>
      </c>
      <c r="B1" s="9" t="s">
        <v>174</v>
      </c>
      <c r="C1" s="9" t="s">
        <v>175</v>
      </c>
      <c r="D1" s="9" t="s">
        <v>61</v>
      </c>
      <c r="E1" s="9" t="s">
        <v>176</v>
      </c>
      <c r="F1" s="9" t="s">
        <v>177</v>
      </c>
    </row>
    <row r="2" spans="1:6" ht="15" customHeight="1" x14ac:dyDescent="0.3">
      <c r="A2" s="6" t="s">
        <v>68</v>
      </c>
      <c r="B2" s="6" t="s">
        <v>178</v>
      </c>
      <c r="C2" s="6" t="s">
        <v>179</v>
      </c>
      <c r="D2" s="6">
        <v>49.99</v>
      </c>
      <c r="E2" s="6">
        <v>320</v>
      </c>
      <c r="F2" s="6" t="s">
        <v>180</v>
      </c>
    </row>
    <row r="3" spans="1:6" ht="15" customHeight="1" x14ac:dyDescent="0.3">
      <c r="A3" s="7" t="s">
        <v>74</v>
      </c>
      <c r="B3" s="7" t="s">
        <v>181</v>
      </c>
      <c r="C3" s="7" t="s">
        <v>182</v>
      </c>
      <c r="D3" s="7">
        <v>120</v>
      </c>
      <c r="E3" s="7">
        <v>85</v>
      </c>
      <c r="F3" s="7" t="s">
        <v>183</v>
      </c>
    </row>
    <row r="4" spans="1:6" ht="15" customHeight="1" x14ac:dyDescent="0.3">
      <c r="A4" s="6" t="s">
        <v>81</v>
      </c>
      <c r="B4" s="6" t="s">
        <v>184</v>
      </c>
      <c r="C4" s="6" t="s">
        <v>182</v>
      </c>
      <c r="D4" s="6">
        <v>75.5</v>
      </c>
      <c r="E4" s="6">
        <v>140</v>
      </c>
      <c r="F4" s="6" t="s">
        <v>183</v>
      </c>
    </row>
    <row r="5" spans="1:6" ht="15" customHeight="1" x14ac:dyDescent="0.3">
      <c r="A5" s="7" t="s">
        <v>90</v>
      </c>
      <c r="B5" s="7" t="s">
        <v>185</v>
      </c>
      <c r="C5" s="7" t="s">
        <v>179</v>
      </c>
      <c r="D5" s="7">
        <v>200</v>
      </c>
      <c r="E5" s="7">
        <v>60</v>
      </c>
      <c r="F5" s="7" t="s">
        <v>180</v>
      </c>
    </row>
    <row r="6" spans="1:6" ht="15" customHeight="1" x14ac:dyDescent="0.3">
      <c r="A6" s="6" t="s">
        <v>105</v>
      </c>
      <c r="B6" s="6" t="s">
        <v>186</v>
      </c>
      <c r="C6" s="6" t="s">
        <v>179</v>
      </c>
      <c r="D6" s="6">
        <v>35</v>
      </c>
      <c r="E6" s="6">
        <v>500</v>
      </c>
      <c r="F6" s="6" t="s">
        <v>187</v>
      </c>
    </row>
    <row r="7" spans="1:6" ht="15" customHeight="1" x14ac:dyDescent="0.3">
      <c r="A7" s="7" t="s">
        <v>118</v>
      </c>
      <c r="B7" s="7" t="s">
        <v>188</v>
      </c>
      <c r="C7" s="7" t="s">
        <v>189</v>
      </c>
      <c r="D7" s="7">
        <v>22</v>
      </c>
      <c r="E7" s="7">
        <v>1200</v>
      </c>
      <c r="F7" s="7" t="s">
        <v>190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0" customWidth="1"/>
    <col min="2" max="2" width="14" customWidth="1"/>
    <col min="3" max="3" width="28" customWidth="1"/>
    <col min="4" max="4" width="12" customWidth="1"/>
    <col min="5" max="6" width="14" customWidth="1"/>
  </cols>
  <sheetData>
    <row r="1" spans="1:6" ht="27.75" customHeight="1" x14ac:dyDescent="0.3">
      <c r="A1" s="9" t="s">
        <v>57</v>
      </c>
      <c r="B1" s="9" t="s">
        <v>191</v>
      </c>
      <c r="C1" s="9" t="s">
        <v>192</v>
      </c>
      <c r="D1" s="9" t="s">
        <v>193</v>
      </c>
      <c r="E1" s="9" t="s">
        <v>194</v>
      </c>
      <c r="F1" s="9" t="s">
        <v>195</v>
      </c>
    </row>
    <row r="2" spans="1:6" ht="15" customHeight="1" x14ac:dyDescent="0.3">
      <c r="A2" s="6" t="s">
        <v>167</v>
      </c>
      <c r="B2" s="10" t="s">
        <v>196</v>
      </c>
      <c r="C2" s="6" t="s">
        <v>197</v>
      </c>
      <c r="D2" s="6" t="s">
        <v>198</v>
      </c>
      <c r="E2" s="6" t="s">
        <v>199</v>
      </c>
      <c r="F2" s="6">
        <v>14</v>
      </c>
    </row>
    <row r="3" spans="1:6" ht="15" customHeight="1" x14ac:dyDescent="0.3">
      <c r="A3" s="7" t="s">
        <v>200</v>
      </c>
      <c r="B3" s="11" t="s">
        <v>201</v>
      </c>
      <c r="C3" s="7" t="s">
        <v>202</v>
      </c>
      <c r="D3" s="7" t="s">
        <v>198</v>
      </c>
      <c r="E3" s="7" t="s">
        <v>203</v>
      </c>
      <c r="F3" s="7">
        <v>7</v>
      </c>
    </row>
    <row r="4" spans="1:6" ht="15" customHeight="1" x14ac:dyDescent="0.3">
      <c r="A4" s="6" t="s">
        <v>173</v>
      </c>
      <c r="B4" s="12" t="s">
        <v>204</v>
      </c>
      <c r="C4" s="6" t="s">
        <v>205</v>
      </c>
      <c r="D4" s="6" t="s">
        <v>206</v>
      </c>
      <c r="E4" s="6" t="s">
        <v>207</v>
      </c>
      <c r="F4" s="6">
        <v>3</v>
      </c>
    </row>
    <row r="5" spans="1:6" ht="15" customHeight="1" x14ac:dyDescent="0.3">
      <c r="A5" s="7" t="s">
        <v>85</v>
      </c>
      <c r="B5" s="10" t="s">
        <v>196</v>
      </c>
      <c r="C5" s="7" t="s">
        <v>208</v>
      </c>
      <c r="D5" s="7" t="s">
        <v>209</v>
      </c>
      <c r="E5" s="7" t="s">
        <v>210</v>
      </c>
      <c r="F5" s="7">
        <v>21</v>
      </c>
    </row>
    <row r="6" spans="1:6" ht="15" customHeight="1" x14ac:dyDescent="0.3">
      <c r="A6" s="6" t="s">
        <v>211</v>
      </c>
      <c r="B6" s="11" t="s">
        <v>201</v>
      </c>
      <c r="C6" s="6" t="s">
        <v>212</v>
      </c>
      <c r="D6" s="6" t="s">
        <v>198</v>
      </c>
      <c r="E6" s="6" t="s">
        <v>213</v>
      </c>
      <c r="F6" s="6">
        <v>5</v>
      </c>
    </row>
    <row r="7" spans="1:6" ht="15" customHeight="1" x14ac:dyDescent="0.3">
      <c r="A7" s="7" t="s">
        <v>214</v>
      </c>
      <c r="B7" s="12" t="s">
        <v>204</v>
      </c>
      <c r="C7" s="7" t="s">
        <v>215</v>
      </c>
      <c r="D7" s="7" t="s">
        <v>206</v>
      </c>
      <c r="E7" s="7" t="s">
        <v>78</v>
      </c>
      <c r="F7" s="7">
        <v>2</v>
      </c>
    </row>
    <row r="8" spans="1:6" ht="15" customHeight="1" x14ac:dyDescent="0.3">
      <c r="A8" s="6" t="s">
        <v>216</v>
      </c>
      <c r="B8" s="11" t="s">
        <v>201</v>
      </c>
      <c r="C8" s="6" t="s">
        <v>217</v>
      </c>
      <c r="D8" s="6" t="s">
        <v>198</v>
      </c>
      <c r="E8" s="6" t="s">
        <v>218</v>
      </c>
      <c r="F8" s="6">
        <v>9</v>
      </c>
    </row>
    <row r="9" spans="1:6" ht="15" customHeight="1" x14ac:dyDescent="0.3">
      <c r="A9" s="7" t="s">
        <v>219</v>
      </c>
      <c r="B9" s="12" t="s">
        <v>204</v>
      </c>
      <c r="C9" s="7" t="s">
        <v>220</v>
      </c>
      <c r="D9" s="7" t="s">
        <v>209</v>
      </c>
      <c r="E9" s="7" t="s">
        <v>221</v>
      </c>
      <c r="F9" s="7">
        <v>4</v>
      </c>
    </row>
    <row r="10" spans="1:6" ht="15" customHeight="1" x14ac:dyDescent="0.3">
      <c r="A10" s="6" t="s">
        <v>108</v>
      </c>
      <c r="B10" s="10" t="s">
        <v>196</v>
      </c>
      <c r="C10" s="6" t="s">
        <v>222</v>
      </c>
      <c r="D10" s="6" t="s">
        <v>198</v>
      </c>
      <c r="E10" s="6" t="s">
        <v>223</v>
      </c>
      <c r="F10" s="6">
        <v>18</v>
      </c>
    </row>
    <row r="11" spans="1:6" ht="15" customHeight="1" x14ac:dyDescent="0.3">
      <c r="A11" s="7" t="s">
        <v>111</v>
      </c>
      <c r="B11" s="10" t="s">
        <v>196</v>
      </c>
      <c r="C11" s="7" t="s">
        <v>224</v>
      </c>
      <c r="D11" s="7" t="s">
        <v>206</v>
      </c>
      <c r="E11" s="7" t="s">
        <v>225</v>
      </c>
      <c r="F11" s="7"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6"/>
  <sheetViews>
    <sheetView showGridLines="0" zoomScaleNormal="100" workbookViewId="0"/>
  </sheetViews>
  <sheetFormatPr defaultColWidth="8.6640625" defaultRowHeight="14.4" x14ac:dyDescent="0.3"/>
  <cols>
    <col min="1" max="1" width="28" customWidth="1"/>
    <col min="2" max="2" width="38" customWidth="1"/>
    <col min="3" max="3" width="14" customWidth="1"/>
    <col min="4" max="4" width="12" customWidth="1"/>
    <col min="5" max="5" width="24" customWidth="1"/>
    <col min="6" max="6" width="22" customWidth="1"/>
  </cols>
  <sheetData>
    <row r="1" spans="1:6" ht="24" customHeight="1" x14ac:dyDescent="0.3">
      <c r="A1" s="34" t="s">
        <v>226</v>
      </c>
      <c r="B1" s="34"/>
      <c r="C1" s="34"/>
      <c r="D1" s="34"/>
      <c r="E1" s="34"/>
      <c r="F1" s="34"/>
    </row>
    <row r="2" spans="1:6" ht="15" customHeight="1" x14ac:dyDescent="0.3">
      <c r="A2" s="13" t="s">
        <v>227</v>
      </c>
      <c r="B2" s="13" t="s">
        <v>228</v>
      </c>
      <c r="C2" s="13" t="s">
        <v>229</v>
      </c>
    </row>
    <row r="3" spans="1:6" ht="19.5" customHeight="1" x14ac:dyDescent="0.3">
      <c r="A3" s="6" t="s">
        <v>230</v>
      </c>
      <c r="B3" s="14">
        <f>COUNTA(Orders_Raw!A2:A31)</f>
        <v>30</v>
      </c>
      <c r="C3" s="15">
        <f>COUNTA(Orders_Raw!A2:A31)</f>
        <v>30</v>
      </c>
    </row>
    <row r="4" spans="1:6" ht="19.5" customHeight="1" x14ac:dyDescent="0.3">
      <c r="A4" s="7" t="s">
        <v>231</v>
      </c>
      <c r="B4" s="16">
        <f>SUMPRODUCT(Orders_Raw!F2:F31,Orders_Raw!G2:G31)</f>
        <v>18586.420000000002</v>
      </c>
      <c r="C4" s="17">
        <f>SUMPRODUCT(Orders_Raw!F2:F31,Orders_Raw!G2:G31)</f>
        <v>18586.420000000002</v>
      </c>
    </row>
    <row r="5" spans="1:6" ht="19.5" customHeight="1" x14ac:dyDescent="0.3">
      <c r="A5" s="6" t="s">
        <v>232</v>
      </c>
      <c r="B5" s="14">
        <f>AVERAGE(Orders_Raw!G2:G31)</f>
        <v>85.180999999999997</v>
      </c>
      <c r="C5" s="17">
        <f>AVERAGE(Orders_Raw!G2:G31)</f>
        <v>85.180999999999997</v>
      </c>
    </row>
    <row r="6" spans="1:6" ht="19.5" customHeight="1" x14ac:dyDescent="0.3">
      <c r="A6" s="7" t="s">
        <v>233</v>
      </c>
      <c r="B6" s="16">
        <f>MAX(Orders_Raw!F2:F31)</f>
        <v>25</v>
      </c>
      <c r="C6" s="15">
        <f>MAX(Orders_Raw!F2:F31)</f>
        <v>25</v>
      </c>
    </row>
    <row r="7" spans="1:6" ht="19.5" customHeight="1" x14ac:dyDescent="0.3">
      <c r="A7" s="6" t="s">
        <v>234</v>
      </c>
      <c r="B7" s="14">
        <f>MIN(Orders_Raw!F2:F31)</f>
        <v>3</v>
      </c>
      <c r="C7" s="15">
        <f>MIN(Orders_Raw!F2:F31)</f>
        <v>3</v>
      </c>
    </row>
    <row r="8" spans="1:6" ht="19.5" customHeight="1" x14ac:dyDescent="0.3">
      <c r="A8" s="7" t="s">
        <v>235</v>
      </c>
      <c r="B8" s="16">
        <f>COUNTIF(Orders_Raw!H2:H31,"Shipped")</f>
        <v>11</v>
      </c>
      <c r="C8" s="15">
        <f>COUNTIF(Orders_Raw!H2:H31,"Shipped")</f>
        <v>11</v>
      </c>
    </row>
    <row r="9" spans="1:6" ht="19.5" customHeight="1" x14ac:dyDescent="0.3">
      <c r="A9" s="6" t="s">
        <v>236</v>
      </c>
      <c r="B9" s="14">
        <f>COUNTIF(Orders_Raw!H2:H31,"Pending")</f>
        <v>7</v>
      </c>
      <c r="C9" s="15">
        <f>COUNTIF(Orders_Raw!H2:H31,"Pending")</f>
        <v>7</v>
      </c>
    </row>
    <row r="10" spans="1:6" ht="19.5" customHeight="1" x14ac:dyDescent="0.3">
      <c r="A10" s="7" t="s">
        <v>237</v>
      </c>
      <c r="B10" s="16">
        <f>COUNTIF(Orders_Raw!F2:F31,"&gt;"&amp;(1000/Orders_Raw!G2:G31))</f>
        <v>1</v>
      </c>
      <c r="C10" s="15">
        <f>COUNTIF(Orders_Raw!F2:F31,"&gt;"&amp;(1000/Orders_Raw!G2:G31))</f>
        <v>1</v>
      </c>
    </row>
    <row r="12" spans="1:6" ht="24" customHeight="1" x14ac:dyDescent="0.3">
      <c r="A12" s="34" t="s">
        <v>238</v>
      </c>
      <c r="B12" s="34"/>
      <c r="C12" s="34"/>
      <c r="D12" s="34"/>
      <c r="E12" s="34"/>
      <c r="F12" s="34"/>
    </row>
    <row r="13" spans="1:6" ht="15" customHeight="1" x14ac:dyDescent="0.3">
      <c r="A13" s="18" t="s">
        <v>55</v>
      </c>
      <c r="B13" s="18" t="s">
        <v>60</v>
      </c>
      <c r="C13" s="18" t="s">
        <v>239</v>
      </c>
      <c r="D13" s="18" t="s">
        <v>240</v>
      </c>
      <c r="E13" s="18" t="s">
        <v>241</v>
      </c>
    </row>
    <row r="14" spans="1:6" ht="15" customHeight="1" x14ac:dyDescent="0.3">
      <c r="A14" s="19" t="str">
        <f>Orders_Raw!A2</f>
        <v>ORD-1001</v>
      </c>
      <c r="B14" s="19">
        <f>Orders_Raw!F2</f>
        <v>10</v>
      </c>
      <c r="C14" s="19" t="str">
        <f>IF(Orders_Raw!F2&gt;=10,"Large",IF(Orders_Raw!F2&gt;=5,"Medium","Small"))</f>
        <v>Large</v>
      </c>
      <c r="D14" s="20">
        <f>Orders_Raw!F2*Orders_Raw!G2</f>
        <v>499.90000000000003</v>
      </c>
      <c r="E14" s="19" t="str">
        <f>IF(Orders_Raw!F2*Orders_Raw!G2&gt;=1000,"High",IF(Orders_Raw!F2*Orders_Raw!G2&gt;=500,"Medium","Low"))</f>
        <v>Low</v>
      </c>
    </row>
    <row r="15" spans="1:6" ht="15" customHeight="1" x14ac:dyDescent="0.3">
      <c r="A15" s="21" t="str">
        <f>Orders_Raw!A3</f>
        <v>ORD-1002</v>
      </c>
      <c r="B15" s="21">
        <f>Orders_Raw!F3</f>
        <v>5</v>
      </c>
      <c r="C15" s="21" t="str">
        <f>IF(Orders_Raw!F3&gt;=10,"Large",IF(Orders_Raw!F3&gt;=5,"Medium","Small"))</f>
        <v>Medium</v>
      </c>
      <c r="D15" s="22">
        <f>Orders_Raw!F3*Orders_Raw!G3</f>
        <v>600</v>
      </c>
      <c r="E15" s="21" t="str">
        <f>IF(Orders_Raw!F3*Orders_Raw!G3&gt;=1000,"High",IF(Orders_Raw!F3*Orders_Raw!G3&gt;=500,"Medium","Low"))</f>
        <v>Medium</v>
      </c>
    </row>
    <row r="16" spans="1:6" ht="15" customHeight="1" x14ac:dyDescent="0.3">
      <c r="A16" s="19" t="str">
        <f>Orders_Raw!A4</f>
        <v>ORD-1003</v>
      </c>
      <c r="B16" s="19">
        <f>Orders_Raw!F4</f>
        <v>8</v>
      </c>
      <c r="C16" s="19" t="str">
        <f>IF(Orders_Raw!F4&gt;=10,"Large",IF(Orders_Raw!F4&gt;=5,"Medium","Small"))</f>
        <v>Medium</v>
      </c>
      <c r="D16" s="20">
        <f>Orders_Raw!F4*Orders_Raw!G4</f>
        <v>604</v>
      </c>
      <c r="E16" s="19" t="str">
        <f>IF(Orders_Raw!F4*Orders_Raw!G4&gt;=1000,"High",IF(Orders_Raw!F4*Orders_Raw!G4&gt;=500,"Medium","Low"))</f>
        <v>Medium</v>
      </c>
    </row>
    <row r="17" spans="1:6" ht="15" customHeight="1" x14ac:dyDescent="0.3">
      <c r="A17" s="21" t="str">
        <f>Orders_Raw!A5</f>
        <v>ORD-1004</v>
      </c>
      <c r="B17" s="21">
        <f>Orders_Raw!F5</f>
        <v>12</v>
      </c>
      <c r="C17" s="21" t="str">
        <f>IF(Orders_Raw!F5&gt;=10,"Large",IF(Orders_Raw!F5&gt;=5,"Medium","Small"))</f>
        <v>Large</v>
      </c>
      <c r="D17" s="22">
        <f>Orders_Raw!F5*Orders_Raw!G5</f>
        <v>599.88</v>
      </c>
      <c r="E17" s="21" t="str">
        <f>IF(Orders_Raw!F5*Orders_Raw!G5&gt;=1000,"High",IF(Orders_Raw!F5*Orders_Raw!G5&gt;=500,"Medium","Low"))</f>
        <v>Medium</v>
      </c>
    </row>
    <row r="18" spans="1:6" ht="15" customHeight="1" x14ac:dyDescent="0.3">
      <c r="A18" s="19" t="str">
        <f>Orders_Raw!A6</f>
        <v>ORD-1005</v>
      </c>
      <c r="B18" s="19">
        <f>Orders_Raw!F6</f>
        <v>3</v>
      </c>
      <c r="C18" s="19" t="str">
        <f>IF(Orders_Raw!F6&gt;=10,"Large",IF(Orders_Raw!F6&gt;=5,"Medium","Small"))</f>
        <v>Small</v>
      </c>
      <c r="D18" s="20">
        <f>Orders_Raw!F6*Orders_Raw!G6</f>
        <v>600</v>
      </c>
      <c r="E18" s="19" t="str">
        <f>IF(Orders_Raw!F6*Orders_Raw!G6&gt;=1000,"High",IF(Orders_Raw!F6*Orders_Raw!G6&gt;=500,"Medium","Low"))</f>
        <v>Medium</v>
      </c>
    </row>
    <row r="19" spans="1:6" ht="15" customHeight="1" x14ac:dyDescent="0.3">
      <c r="A19" s="21" t="str">
        <f>Orders_Raw!A7</f>
        <v>ORD-1006</v>
      </c>
      <c r="B19" s="21" t="str">
        <f>Orders_Raw!F7</f>
        <v>7</v>
      </c>
      <c r="C19" s="21" t="str">
        <f>IF(Orders_Raw!F7&gt;=10,"Large",IF(Orders_Raw!F7&gt;=5,"Medium","Small"))</f>
        <v>Large</v>
      </c>
      <c r="D19" s="22">
        <f>Orders_Raw!F7*Orders_Raw!G7</f>
        <v>840</v>
      </c>
      <c r="E19" s="21" t="str">
        <f>IF(Orders_Raw!F7*Orders_Raw!G7&gt;=1000,"High",IF(Orders_Raw!F7*Orders_Raw!G7&gt;=500,"Medium","Low"))</f>
        <v>Medium</v>
      </c>
    </row>
    <row r="20" spans="1:6" ht="15" customHeight="1" x14ac:dyDescent="0.3">
      <c r="A20" s="19" t="str">
        <f>Orders_Raw!A8</f>
        <v>ORD-1007</v>
      </c>
      <c r="B20" s="19">
        <f>Orders_Raw!F8</f>
        <v>6</v>
      </c>
      <c r="C20" s="19" t="str">
        <f>IF(Orders_Raw!F8&gt;=10,"Large",IF(Orders_Raw!F8&gt;=5,"Medium","Small"))</f>
        <v>Medium</v>
      </c>
      <c r="D20" s="20">
        <f>Orders_Raw!F8*Orders_Raw!G8</f>
        <v>453</v>
      </c>
      <c r="E20" s="19" t="str">
        <f>IF(Orders_Raw!F8*Orders_Raw!G8&gt;=1000,"High",IF(Orders_Raw!F8*Orders_Raw!G8&gt;=500,"Medium","Low"))</f>
        <v>Low</v>
      </c>
    </row>
    <row r="21" spans="1:6" ht="15" customHeight="1" x14ac:dyDescent="0.3">
      <c r="A21" s="21" t="str">
        <f>Orders_Raw!A9</f>
        <v>ORD-1008</v>
      </c>
      <c r="B21" s="21">
        <f>Orders_Raw!F9</f>
        <v>15</v>
      </c>
      <c r="C21" s="21" t="str">
        <f>IF(Orders_Raw!F9&gt;=10,"Large",IF(Orders_Raw!F9&gt;=5,"Medium","Small"))</f>
        <v>Large</v>
      </c>
      <c r="D21" s="22">
        <f>Orders_Raw!F9*Orders_Raw!G9</f>
        <v>525</v>
      </c>
      <c r="E21" s="21" t="str">
        <f>IF(Orders_Raw!F9*Orders_Raw!G9&gt;=1000,"High",IF(Orders_Raw!F9*Orders_Raw!G9&gt;=500,"Medium","Low"))</f>
        <v>Medium</v>
      </c>
    </row>
    <row r="22" spans="1:6" ht="15" customHeight="1" x14ac:dyDescent="0.3">
      <c r="A22" s="19" t="str">
        <f>Orders_Raw!A10</f>
        <v>ORD-1009</v>
      </c>
      <c r="B22" s="19">
        <f>Orders_Raw!F10</f>
        <v>9</v>
      </c>
      <c r="C22" s="19" t="str">
        <f>IF(Orders_Raw!F10&gt;=10,"Large",IF(Orders_Raw!F10&gt;=5,"Medium","Small"))</f>
        <v>Medium</v>
      </c>
      <c r="D22" s="20">
        <f>Orders_Raw!F10*Orders_Raw!G10</f>
        <v>449.91</v>
      </c>
      <c r="E22" s="19" t="str">
        <f>IF(Orders_Raw!F10*Orders_Raw!G10&gt;=1000,"High",IF(Orders_Raw!F10*Orders_Raw!G10&gt;=500,"Medium","Low"))</f>
        <v>Low</v>
      </c>
    </row>
    <row r="23" spans="1:6" ht="15" customHeight="1" x14ac:dyDescent="0.3">
      <c r="A23" s="21" t="str">
        <f>Orders_Raw!A11</f>
        <v>ORD-1010</v>
      </c>
      <c r="B23" s="21">
        <f>Orders_Raw!F11</f>
        <v>4</v>
      </c>
      <c r="C23" s="21" t="str">
        <f>IF(Orders_Raw!F11&gt;=10,"Large",IF(Orders_Raw!F11&gt;=5,"Medium","Small"))</f>
        <v>Small</v>
      </c>
      <c r="D23" s="22">
        <f>Orders_Raw!F11*Orders_Raw!G11</f>
        <v>800</v>
      </c>
      <c r="E23" s="21" t="str">
        <f>IF(Orders_Raw!F11*Orders_Raw!G11&gt;=1000,"High",IF(Orders_Raw!F11*Orders_Raw!G11&gt;=500,"Medium","Low"))</f>
        <v>Medium</v>
      </c>
    </row>
    <row r="25" spans="1:6" ht="24" customHeight="1" x14ac:dyDescent="0.3">
      <c r="A25" s="34" t="s">
        <v>242</v>
      </c>
      <c r="B25" s="34"/>
      <c r="C25" s="34"/>
      <c r="D25" s="34"/>
      <c r="E25" s="34"/>
      <c r="F25" s="34"/>
    </row>
    <row r="26" spans="1:6" ht="15" customHeight="1" x14ac:dyDescent="0.3">
      <c r="A26" s="18" t="s">
        <v>55</v>
      </c>
      <c r="B26" s="18" t="s">
        <v>59</v>
      </c>
      <c r="C26" s="18" t="s">
        <v>243</v>
      </c>
      <c r="D26" s="18" t="s">
        <v>244</v>
      </c>
      <c r="E26" s="18" t="s">
        <v>245</v>
      </c>
    </row>
    <row r="27" spans="1:6" ht="15" customHeight="1" x14ac:dyDescent="0.3">
      <c r="A27" s="21" t="str">
        <f>Orders_Raw!A2</f>
        <v>ORD-1001</v>
      </c>
      <c r="B27" s="21" t="str">
        <f>Orders_Raw!E2</f>
        <v>PRD-A01</v>
      </c>
      <c r="C27" s="21" t="str">
        <f>IFERROR(VLOOKUP(Orders_Raw!E2,Products!$A:$F,2,FALSE()),"Not Found")</f>
        <v>Wireless Headphones</v>
      </c>
      <c r="D27" s="21" t="str">
        <f ca="1">IFERROR(_xludf.xlookup(Orders_Raw!E2,Products!$A:$A,Products!$C:$C,"Not Found"),"Not Found")</f>
        <v>Not Found</v>
      </c>
      <c r="E27" s="22">
        <f>IFERROR(VLOOKUP(Orders_Raw!E2,Products!$A:$F,4,FALSE()),"Not Found")</f>
        <v>49.99</v>
      </c>
    </row>
    <row r="28" spans="1:6" ht="15" customHeight="1" x14ac:dyDescent="0.3">
      <c r="A28" s="19" t="str">
        <f>Orders_Raw!A3</f>
        <v>ORD-1002</v>
      </c>
      <c r="B28" s="19" t="str">
        <f>Orders_Raw!E3</f>
        <v>PRD-B02</v>
      </c>
      <c r="C28" s="19" t="str">
        <f>IFERROR(VLOOKUP(Orders_Raw!E3,Products!$A:$F,2,FALSE()),"Not Found")</f>
        <v>Standing Desk</v>
      </c>
      <c r="D28" s="19" t="str">
        <f ca="1">IFERROR(_xludf.xlookup(Orders_Raw!E3,Products!$A:$A,Products!$C:$C,"Not Found"),"Not Found")</f>
        <v>Not Found</v>
      </c>
      <c r="E28" s="20">
        <f>IFERROR(VLOOKUP(Orders_Raw!E3,Products!$A:$F,4,FALSE()),"Not Found")</f>
        <v>120</v>
      </c>
    </row>
    <row r="29" spans="1:6" ht="15" customHeight="1" x14ac:dyDescent="0.3">
      <c r="A29" s="21" t="str">
        <f>Orders_Raw!A4</f>
        <v>ORD-1003</v>
      </c>
      <c r="B29" s="21" t="str">
        <f>Orders_Raw!E4</f>
        <v>PRD-C03</v>
      </c>
      <c r="C29" s="21" t="str">
        <f>IFERROR(VLOOKUP(Orders_Raw!E4,Products!$A:$F,2,FALSE()),"Not Found")</f>
        <v>Ergonomic Chair</v>
      </c>
      <c r="D29" s="21" t="str">
        <f ca="1">IFERROR(_xludf.xlookup(Orders_Raw!E4,Products!$A:$A,Products!$C:$C,"Not Found"),"Not Found")</f>
        <v>Not Found</v>
      </c>
      <c r="E29" s="22">
        <f>IFERROR(VLOOKUP(Orders_Raw!E4,Products!$A:$F,4,FALSE()),"Not Found")</f>
        <v>75.5</v>
      </c>
    </row>
    <row r="30" spans="1:6" ht="15" customHeight="1" x14ac:dyDescent="0.3">
      <c r="A30" s="19" t="str">
        <f>Orders_Raw!A5</f>
        <v>ORD-1004</v>
      </c>
      <c r="B30" s="19" t="str">
        <f>Orders_Raw!E5</f>
        <v>PRD-A01</v>
      </c>
      <c r="C30" s="19" t="str">
        <f>IFERROR(VLOOKUP(Orders_Raw!E5,Products!$A:$F,2,FALSE()),"Not Found")</f>
        <v>Wireless Headphones</v>
      </c>
      <c r="D30" s="19" t="str">
        <f ca="1">IFERROR(_xludf.xlookup(Orders_Raw!E5,Products!$A:$A,Products!$C:$C,"Not Found"),"Not Found")</f>
        <v>Not Found</v>
      </c>
      <c r="E30" s="20">
        <f>IFERROR(VLOOKUP(Orders_Raw!E5,Products!$A:$F,4,FALSE()),"Not Found")</f>
        <v>49.99</v>
      </c>
    </row>
    <row r="31" spans="1:6" ht="15" customHeight="1" x14ac:dyDescent="0.3">
      <c r="A31" s="21" t="str">
        <f>Orders_Raw!A6</f>
        <v>ORD-1005</v>
      </c>
      <c r="B31" s="21" t="str">
        <f>Orders_Raw!E6</f>
        <v>PRD-D04</v>
      </c>
      <c r="C31" s="21" t="str">
        <f>IFERROR(VLOOKUP(Orders_Raw!E6,Products!$A:$F,2,FALSE()),"Not Found")</f>
        <v>4K Monitor</v>
      </c>
      <c r="D31" s="21" t="str">
        <f ca="1">IFERROR(_xludf.xlookup(Orders_Raw!E6,Products!$A:$A,Products!$C:$C,"Not Found"),"Not Found")</f>
        <v>Not Found</v>
      </c>
      <c r="E31" s="22">
        <f>IFERROR(VLOOKUP(Orders_Raw!E6,Products!$A:$F,4,FALSE()),"Not Found")</f>
        <v>200</v>
      </c>
    </row>
    <row r="32" spans="1:6" ht="15" customHeight="1" x14ac:dyDescent="0.3">
      <c r="A32" s="19" t="str">
        <f>Orders_Raw!A7</f>
        <v>ORD-1006</v>
      </c>
      <c r="B32" s="19" t="str">
        <f>Orders_Raw!E7</f>
        <v>PRD-B02</v>
      </c>
      <c r="C32" s="19" t="str">
        <f>IFERROR(VLOOKUP(Orders_Raw!E7,Products!$A:$F,2,FALSE()),"Not Found")</f>
        <v>Standing Desk</v>
      </c>
      <c r="D32" s="19" t="str">
        <f ca="1">IFERROR(_xludf.xlookup(Orders_Raw!E7,Products!$A:$A,Products!$C:$C,"Not Found"),"Not Found")</f>
        <v>Not Found</v>
      </c>
      <c r="E32" s="20">
        <f>IFERROR(VLOOKUP(Orders_Raw!E7,Products!$A:$F,4,FALSE()),"Not Found")</f>
        <v>120</v>
      </c>
    </row>
    <row r="33" spans="1:5" ht="15" customHeight="1" x14ac:dyDescent="0.3">
      <c r="A33" s="21" t="str">
        <f>Orders_Raw!A8</f>
        <v>ORD-1007</v>
      </c>
      <c r="B33" s="21" t="str">
        <f>Orders_Raw!E8</f>
        <v>PRD-C03</v>
      </c>
      <c r="C33" s="21" t="str">
        <f>IFERROR(VLOOKUP(Orders_Raw!E8,Products!$A:$F,2,FALSE()),"Not Found")</f>
        <v>Ergonomic Chair</v>
      </c>
      <c r="D33" s="21" t="str">
        <f ca="1">IFERROR(_xludf.xlookup(Orders_Raw!E8,Products!$A:$A,Products!$C:$C,"Not Found"),"Not Found")</f>
        <v>Not Found</v>
      </c>
      <c r="E33" s="22">
        <f>IFERROR(VLOOKUP(Orders_Raw!E8,Products!$A:$F,4,FALSE()),"Not Found")</f>
        <v>75.5</v>
      </c>
    </row>
    <row r="34" spans="1:5" ht="15" customHeight="1" x14ac:dyDescent="0.3">
      <c r="A34" s="19" t="str">
        <f>Orders_Raw!A9</f>
        <v>ORD-1008</v>
      </c>
      <c r="B34" s="19" t="str">
        <f>Orders_Raw!E9</f>
        <v>PRD-E05</v>
      </c>
      <c r="C34" s="19" t="str">
        <f>IFERROR(VLOOKUP(Orders_Raw!E9,Products!$A:$F,2,FALSE()),"Not Found")</f>
        <v>USB Hub</v>
      </c>
      <c r="D34" s="19" t="str">
        <f ca="1">IFERROR(_xludf.xlookup(Orders_Raw!E9,Products!$A:$A,Products!$C:$C,"Not Found"),"Not Found")</f>
        <v>Not Found</v>
      </c>
      <c r="E34" s="20">
        <f>IFERROR(VLOOKUP(Orders_Raw!E9,Products!$A:$F,4,FALSE()),"Not Found")</f>
        <v>35</v>
      </c>
    </row>
    <row r="35" spans="1:5" ht="15" customHeight="1" x14ac:dyDescent="0.3">
      <c r="A35" s="21" t="str">
        <f>Orders_Raw!A10</f>
        <v>ORD-1009</v>
      </c>
      <c r="B35" s="21" t="str">
        <f>Orders_Raw!E10</f>
        <v>PRD-A01</v>
      </c>
      <c r="C35" s="21" t="str">
        <f>IFERROR(VLOOKUP(Orders_Raw!E10,Products!$A:$F,2,FALSE()),"Not Found")</f>
        <v>Wireless Headphones</v>
      </c>
      <c r="D35" s="21" t="str">
        <f ca="1">IFERROR(_xludf.xlookup(Orders_Raw!E10,Products!$A:$A,Products!$C:$C,"Not Found"),"Not Found")</f>
        <v>Not Found</v>
      </c>
      <c r="E35" s="22">
        <f>IFERROR(VLOOKUP(Orders_Raw!E10,Products!$A:$F,4,FALSE()),"Not Found")</f>
        <v>49.99</v>
      </c>
    </row>
    <row r="36" spans="1:5" ht="15" customHeight="1" x14ac:dyDescent="0.3">
      <c r="A36" s="19" t="str">
        <f>Orders_Raw!A11</f>
        <v>ORD-1010</v>
      </c>
      <c r="B36" s="19" t="str">
        <f>Orders_Raw!E11</f>
        <v>PRD-D04</v>
      </c>
      <c r="C36" s="19" t="str">
        <f>IFERROR(VLOOKUP(Orders_Raw!E11,Products!$A:$F,2,FALSE()),"Not Found")</f>
        <v>4K Monitor</v>
      </c>
      <c r="D36" s="19" t="str">
        <f ca="1">IFERROR(_xludf.xlookup(Orders_Raw!E11,Products!$A:$A,Products!$C:$C,"Not Found"),"Not Found")</f>
        <v>Not Found</v>
      </c>
      <c r="E36" s="20">
        <f>IFERROR(VLOOKUP(Orders_Raw!E11,Products!$A:$F,4,FALSE()),"Not Found")</f>
        <v>200</v>
      </c>
    </row>
  </sheetData>
  <mergeCells count="3">
    <mergeCell ref="A1:F1"/>
    <mergeCell ref="A12:F12"/>
    <mergeCell ref="A25:F2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Orders_Raw</vt:lpstr>
      <vt:lpstr>Products</vt:lpstr>
      <vt:lpstr>Customers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Veena Kodimala</cp:lastModifiedBy>
  <cp:revision>0</cp:revision>
  <dcterms:created xsi:type="dcterms:W3CDTF">2026-04-06T19:48:58Z</dcterms:created>
  <dcterms:modified xsi:type="dcterms:W3CDTF">2026-04-17T19:06:05Z</dcterms:modified>
  <dc:language>en-US</dc:language>
</cp:coreProperties>
</file>